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cchen\Documents\GitHub\mvpf-climate\data\6_tables\tables_templates\"/>
    </mc:Choice>
  </mc:AlternateContent>
  <xr:revisionPtr revIDLastSave="0" documentId="13_ncr:1_{916C1705-CE24-4C99-B2AA-B32E7210C1A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_export" sheetId="1" r:id="rId1"/>
    <sheet name="TAB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2" i="4" l="1"/>
  <c r="G102" i="4"/>
  <c r="G97" i="4"/>
  <c r="G93" i="4"/>
  <c r="G57" i="4"/>
  <c r="G108" i="4"/>
  <c r="G63" i="4"/>
  <c r="J125" i="4"/>
  <c r="K125" i="4"/>
  <c r="M125" i="4"/>
  <c r="N125" i="4"/>
  <c r="O125" i="4"/>
  <c r="P125" i="4"/>
  <c r="R125" i="4"/>
  <c r="S125" i="4"/>
  <c r="T125" i="4"/>
  <c r="J126" i="4"/>
  <c r="K126" i="4"/>
  <c r="M126" i="4"/>
  <c r="N126" i="4"/>
  <c r="O126" i="4"/>
  <c r="P126" i="4"/>
  <c r="R126" i="4"/>
  <c r="S126" i="4"/>
  <c r="T126" i="4"/>
  <c r="J127" i="4"/>
  <c r="K127" i="4"/>
  <c r="M127" i="4"/>
  <c r="N127" i="4"/>
  <c r="O127" i="4"/>
  <c r="P127" i="4"/>
  <c r="R127" i="4"/>
  <c r="S127" i="4"/>
  <c r="T127" i="4"/>
  <c r="K124" i="4"/>
  <c r="M124" i="4"/>
  <c r="N124" i="4"/>
  <c r="O124" i="4"/>
  <c r="P124" i="4"/>
  <c r="R124" i="4"/>
  <c r="S124" i="4"/>
  <c r="T124" i="4"/>
  <c r="J124" i="4"/>
  <c r="J122" i="4"/>
  <c r="K122" i="4"/>
  <c r="M122" i="4"/>
  <c r="N122" i="4"/>
  <c r="O122" i="4"/>
  <c r="P122" i="4"/>
  <c r="R122" i="4"/>
  <c r="S122" i="4"/>
  <c r="T122" i="4"/>
  <c r="K121" i="4"/>
  <c r="M121" i="4"/>
  <c r="N121" i="4"/>
  <c r="O121" i="4"/>
  <c r="P121" i="4"/>
  <c r="R121" i="4"/>
  <c r="S121" i="4"/>
  <c r="T121" i="4"/>
  <c r="J121" i="4"/>
  <c r="J118" i="4"/>
  <c r="K118" i="4"/>
  <c r="M118" i="4"/>
  <c r="N118" i="4"/>
  <c r="O118" i="4"/>
  <c r="P118" i="4"/>
  <c r="R118" i="4"/>
  <c r="S118" i="4"/>
  <c r="T118" i="4"/>
  <c r="J119" i="4"/>
  <c r="K119" i="4"/>
  <c r="M119" i="4"/>
  <c r="N119" i="4"/>
  <c r="O119" i="4"/>
  <c r="P119" i="4"/>
  <c r="R119" i="4"/>
  <c r="S119" i="4"/>
  <c r="T119" i="4"/>
  <c r="K117" i="4"/>
  <c r="M117" i="4"/>
  <c r="N117" i="4"/>
  <c r="O117" i="4"/>
  <c r="P117" i="4"/>
  <c r="R117" i="4"/>
  <c r="S117" i="4"/>
  <c r="T117" i="4"/>
  <c r="J117" i="4"/>
  <c r="J113" i="4"/>
  <c r="K113" i="4"/>
  <c r="M113" i="4"/>
  <c r="N113" i="4"/>
  <c r="O113" i="4"/>
  <c r="P113" i="4"/>
  <c r="R113" i="4"/>
  <c r="S113" i="4"/>
  <c r="T113" i="4"/>
  <c r="J114" i="4"/>
  <c r="K114" i="4"/>
  <c r="M114" i="4"/>
  <c r="N114" i="4"/>
  <c r="O114" i="4"/>
  <c r="P114" i="4"/>
  <c r="R114" i="4"/>
  <c r="S114" i="4"/>
  <c r="T114" i="4"/>
  <c r="J115" i="4"/>
  <c r="K115" i="4"/>
  <c r="M115" i="4"/>
  <c r="N115" i="4"/>
  <c r="O115" i="4"/>
  <c r="P115" i="4"/>
  <c r="R115" i="4"/>
  <c r="S115" i="4"/>
  <c r="T115" i="4"/>
  <c r="K112" i="4"/>
  <c r="M112" i="4"/>
  <c r="N112" i="4"/>
  <c r="O112" i="4"/>
  <c r="P112" i="4"/>
  <c r="R112" i="4"/>
  <c r="S112" i="4"/>
  <c r="T112" i="4"/>
  <c r="J112" i="4"/>
  <c r="J109" i="4"/>
  <c r="K109" i="4"/>
  <c r="M109" i="4"/>
  <c r="N109" i="4"/>
  <c r="O109" i="4"/>
  <c r="P109" i="4"/>
  <c r="R109" i="4"/>
  <c r="S109" i="4"/>
  <c r="T109" i="4"/>
  <c r="J110" i="4"/>
  <c r="K110" i="4"/>
  <c r="M110" i="4"/>
  <c r="N110" i="4"/>
  <c r="O110" i="4"/>
  <c r="P110" i="4"/>
  <c r="R110" i="4"/>
  <c r="S110" i="4"/>
  <c r="T110" i="4"/>
  <c r="K108" i="4"/>
  <c r="M108" i="4"/>
  <c r="N108" i="4"/>
  <c r="O108" i="4"/>
  <c r="P108" i="4"/>
  <c r="R108" i="4"/>
  <c r="S108" i="4"/>
  <c r="T108" i="4"/>
  <c r="J108" i="4"/>
  <c r="J103" i="4"/>
  <c r="K103" i="4"/>
  <c r="M103" i="4"/>
  <c r="N103" i="4"/>
  <c r="O103" i="4"/>
  <c r="P103" i="4"/>
  <c r="R103" i="4"/>
  <c r="S103" i="4"/>
  <c r="T103" i="4"/>
  <c r="J104" i="4"/>
  <c r="K104" i="4"/>
  <c r="M104" i="4"/>
  <c r="N104" i="4"/>
  <c r="O104" i="4"/>
  <c r="P104" i="4"/>
  <c r="R104" i="4"/>
  <c r="S104" i="4"/>
  <c r="T104" i="4"/>
  <c r="K102" i="4"/>
  <c r="M102" i="4"/>
  <c r="N102" i="4"/>
  <c r="O102" i="4"/>
  <c r="P102" i="4"/>
  <c r="R102" i="4"/>
  <c r="S102" i="4"/>
  <c r="T102" i="4"/>
  <c r="J102" i="4"/>
  <c r="J98" i="4"/>
  <c r="K98" i="4"/>
  <c r="M98" i="4"/>
  <c r="N98" i="4"/>
  <c r="O98" i="4"/>
  <c r="P98" i="4"/>
  <c r="R98" i="4"/>
  <c r="S98" i="4"/>
  <c r="T98" i="4"/>
  <c r="J99" i="4"/>
  <c r="K99" i="4"/>
  <c r="M99" i="4"/>
  <c r="N99" i="4"/>
  <c r="O99" i="4"/>
  <c r="P99" i="4"/>
  <c r="R99" i="4"/>
  <c r="S99" i="4"/>
  <c r="T99" i="4"/>
  <c r="J100" i="4"/>
  <c r="K100" i="4"/>
  <c r="M100" i="4"/>
  <c r="N100" i="4"/>
  <c r="O100" i="4"/>
  <c r="P100" i="4"/>
  <c r="R100" i="4"/>
  <c r="S100" i="4"/>
  <c r="T100" i="4"/>
  <c r="K97" i="4"/>
  <c r="M97" i="4"/>
  <c r="N97" i="4"/>
  <c r="O97" i="4"/>
  <c r="P97" i="4"/>
  <c r="R97" i="4"/>
  <c r="S97" i="4"/>
  <c r="T97" i="4"/>
  <c r="J97" i="4"/>
  <c r="J94" i="4"/>
  <c r="K94" i="4"/>
  <c r="M94" i="4"/>
  <c r="N94" i="4"/>
  <c r="O94" i="4"/>
  <c r="P94" i="4"/>
  <c r="R94" i="4"/>
  <c r="S94" i="4"/>
  <c r="T94" i="4"/>
  <c r="J95" i="4"/>
  <c r="K95" i="4"/>
  <c r="M95" i="4"/>
  <c r="N95" i="4"/>
  <c r="O95" i="4"/>
  <c r="P95" i="4"/>
  <c r="R95" i="4"/>
  <c r="S95" i="4"/>
  <c r="T95" i="4"/>
  <c r="K93" i="4"/>
  <c r="M93" i="4"/>
  <c r="N93" i="4"/>
  <c r="O93" i="4"/>
  <c r="P93" i="4"/>
  <c r="R93" i="4"/>
  <c r="S93" i="4"/>
  <c r="T93" i="4"/>
  <c r="J93" i="4"/>
  <c r="J80" i="4"/>
  <c r="K80" i="4"/>
  <c r="M80" i="4"/>
  <c r="N80" i="4"/>
  <c r="O80" i="4"/>
  <c r="P80" i="4"/>
  <c r="R80" i="4"/>
  <c r="S80" i="4"/>
  <c r="T80" i="4"/>
  <c r="J81" i="4"/>
  <c r="K81" i="4"/>
  <c r="M81" i="4"/>
  <c r="N81" i="4"/>
  <c r="O81" i="4"/>
  <c r="P81" i="4"/>
  <c r="R81" i="4"/>
  <c r="S81" i="4"/>
  <c r="T81" i="4"/>
  <c r="J82" i="4"/>
  <c r="K82" i="4"/>
  <c r="M82" i="4"/>
  <c r="N82" i="4"/>
  <c r="O82" i="4"/>
  <c r="P82" i="4"/>
  <c r="R82" i="4"/>
  <c r="S82" i="4"/>
  <c r="T82" i="4"/>
  <c r="J83" i="4"/>
  <c r="K83" i="4"/>
  <c r="M83" i="4"/>
  <c r="N83" i="4"/>
  <c r="O83" i="4"/>
  <c r="P83" i="4"/>
  <c r="R83" i="4"/>
  <c r="S83" i="4"/>
  <c r="T83" i="4"/>
  <c r="J84" i="4"/>
  <c r="K84" i="4"/>
  <c r="M84" i="4"/>
  <c r="N84" i="4"/>
  <c r="O84" i="4"/>
  <c r="P84" i="4"/>
  <c r="R84" i="4"/>
  <c r="S84" i="4"/>
  <c r="T84" i="4"/>
  <c r="J85" i="4"/>
  <c r="K85" i="4"/>
  <c r="M85" i="4"/>
  <c r="N85" i="4"/>
  <c r="O85" i="4"/>
  <c r="P85" i="4"/>
  <c r="R85" i="4"/>
  <c r="S85" i="4"/>
  <c r="T85" i="4"/>
  <c r="J86" i="4"/>
  <c r="K86" i="4"/>
  <c r="M86" i="4"/>
  <c r="N86" i="4"/>
  <c r="O86" i="4"/>
  <c r="P86" i="4"/>
  <c r="R86" i="4"/>
  <c r="S86" i="4"/>
  <c r="T86" i="4"/>
  <c r="J87" i="4"/>
  <c r="K87" i="4"/>
  <c r="M87" i="4"/>
  <c r="N87" i="4"/>
  <c r="O87" i="4"/>
  <c r="P87" i="4"/>
  <c r="R87" i="4"/>
  <c r="S87" i="4"/>
  <c r="T87" i="4"/>
  <c r="J88" i="4"/>
  <c r="K88" i="4"/>
  <c r="M88" i="4"/>
  <c r="N88" i="4"/>
  <c r="O88" i="4"/>
  <c r="P88" i="4"/>
  <c r="R88" i="4"/>
  <c r="S88" i="4"/>
  <c r="T88" i="4"/>
  <c r="J89" i="4"/>
  <c r="K89" i="4"/>
  <c r="M89" i="4"/>
  <c r="N89" i="4"/>
  <c r="O89" i="4"/>
  <c r="P89" i="4"/>
  <c r="R89" i="4"/>
  <c r="S89" i="4"/>
  <c r="T89" i="4"/>
  <c r="J90" i="4"/>
  <c r="K90" i="4"/>
  <c r="M90" i="4"/>
  <c r="N90" i="4"/>
  <c r="O90" i="4"/>
  <c r="P90" i="4"/>
  <c r="R90" i="4"/>
  <c r="S90" i="4"/>
  <c r="T90" i="4"/>
  <c r="J91" i="4"/>
  <c r="K91" i="4"/>
  <c r="M91" i="4"/>
  <c r="N91" i="4"/>
  <c r="O91" i="4"/>
  <c r="P91" i="4"/>
  <c r="R91" i="4"/>
  <c r="S91" i="4"/>
  <c r="T91" i="4"/>
  <c r="K79" i="4"/>
  <c r="M79" i="4"/>
  <c r="N79" i="4"/>
  <c r="O79" i="4"/>
  <c r="P79" i="4"/>
  <c r="R79" i="4"/>
  <c r="S79" i="4"/>
  <c r="T79" i="4"/>
  <c r="J79" i="4"/>
  <c r="J70" i="4"/>
  <c r="K70" i="4"/>
  <c r="M70" i="4"/>
  <c r="N70" i="4"/>
  <c r="O70" i="4"/>
  <c r="P70" i="4"/>
  <c r="R70" i="4"/>
  <c r="S70" i="4"/>
  <c r="T70" i="4"/>
  <c r="J71" i="4"/>
  <c r="K71" i="4"/>
  <c r="M71" i="4"/>
  <c r="N71" i="4"/>
  <c r="O71" i="4"/>
  <c r="P71" i="4"/>
  <c r="R71" i="4"/>
  <c r="S71" i="4"/>
  <c r="T71" i="4"/>
  <c r="J72" i="4"/>
  <c r="K72" i="4"/>
  <c r="M72" i="4"/>
  <c r="N72" i="4"/>
  <c r="O72" i="4"/>
  <c r="P72" i="4"/>
  <c r="R72" i="4"/>
  <c r="S72" i="4"/>
  <c r="T72" i="4"/>
  <c r="J73" i="4"/>
  <c r="K73" i="4"/>
  <c r="M73" i="4"/>
  <c r="N73" i="4"/>
  <c r="O73" i="4"/>
  <c r="P73" i="4"/>
  <c r="R73" i="4"/>
  <c r="S73" i="4"/>
  <c r="T73" i="4"/>
  <c r="J74" i="4"/>
  <c r="K74" i="4"/>
  <c r="M74" i="4"/>
  <c r="N74" i="4"/>
  <c r="O74" i="4"/>
  <c r="P74" i="4"/>
  <c r="R74" i="4"/>
  <c r="S74" i="4"/>
  <c r="T74" i="4"/>
  <c r="J75" i="4"/>
  <c r="K75" i="4"/>
  <c r="M75" i="4"/>
  <c r="N75" i="4"/>
  <c r="O75" i="4"/>
  <c r="P75" i="4"/>
  <c r="R75" i="4"/>
  <c r="S75" i="4"/>
  <c r="T75" i="4"/>
  <c r="K69" i="4"/>
  <c r="M69" i="4"/>
  <c r="N69" i="4"/>
  <c r="O69" i="4"/>
  <c r="P69" i="4"/>
  <c r="R69" i="4"/>
  <c r="S69" i="4"/>
  <c r="T69" i="4"/>
  <c r="J69" i="4"/>
  <c r="J64" i="4"/>
  <c r="K64" i="4"/>
  <c r="M64" i="4"/>
  <c r="N64" i="4"/>
  <c r="O64" i="4"/>
  <c r="P64" i="4"/>
  <c r="R64" i="4"/>
  <c r="S64" i="4"/>
  <c r="T64" i="4"/>
  <c r="J65" i="4"/>
  <c r="K65" i="4"/>
  <c r="M65" i="4"/>
  <c r="N65" i="4"/>
  <c r="O65" i="4"/>
  <c r="P65" i="4"/>
  <c r="R65" i="4"/>
  <c r="S65" i="4"/>
  <c r="T65" i="4"/>
  <c r="J66" i="4"/>
  <c r="K66" i="4"/>
  <c r="M66" i="4"/>
  <c r="N66" i="4"/>
  <c r="O66" i="4"/>
  <c r="P66" i="4"/>
  <c r="R66" i="4"/>
  <c r="S66" i="4"/>
  <c r="T66" i="4"/>
  <c r="J67" i="4"/>
  <c r="K67" i="4"/>
  <c r="M67" i="4"/>
  <c r="N67" i="4"/>
  <c r="O67" i="4"/>
  <c r="P67" i="4"/>
  <c r="R67" i="4"/>
  <c r="S67" i="4"/>
  <c r="T67" i="4"/>
  <c r="K63" i="4"/>
  <c r="M63" i="4"/>
  <c r="N63" i="4"/>
  <c r="O63" i="4"/>
  <c r="P63" i="4"/>
  <c r="R63" i="4"/>
  <c r="S63" i="4"/>
  <c r="T63" i="4"/>
  <c r="J63" i="4"/>
  <c r="J58" i="4"/>
  <c r="K58" i="4"/>
  <c r="M58" i="4"/>
  <c r="N58" i="4"/>
  <c r="O58" i="4"/>
  <c r="P58" i="4"/>
  <c r="R58" i="4"/>
  <c r="S58" i="4"/>
  <c r="T58" i="4"/>
  <c r="J59" i="4"/>
  <c r="K59" i="4"/>
  <c r="M59" i="4"/>
  <c r="N59" i="4"/>
  <c r="O59" i="4"/>
  <c r="P59" i="4"/>
  <c r="R59" i="4"/>
  <c r="S59" i="4"/>
  <c r="T59" i="4"/>
  <c r="K57" i="4"/>
  <c r="M57" i="4"/>
  <c r="N57" i="4"/>
  <c r="O57" i="4"/>
  <c r="P57" i="4"/>
  <c r="R57" i="4"/>
  <c r="S57" i="4"/>
  <c r="T57" i="4"/>
  <c r="J57" i="4"/>
  <c r="J51" i="4"/>
  <c r="K51" i="4"/>
  <c r="M51" i="4"/>
  <c r="N51" i="4"/>
  <c r="O51" i="4"/>
  <c r="P51" i="4"/>
  <c r="R51" i="4"/>
  <c r="S51" i="4"/>
  <c r="T51" i="4"/>
  <c r="J52" i="4"/>
  <c r="K52" i="4"/>
  <c r="M52" i="4"/>
  <c r="N52" i="4"/>
  <c r="O52" i="4"/>
  <c r="P52" i="4"/>
  <c r="R52" i="4"/>
  <c r="S52" i="4"/>
  <c r="T52" i="4"/>
  <c r="J53" i="4"/>
  <c r="K53" i="4"/>
  <c r="M53" i="4"/>
  <c r="N53" i="4"/>
  <c r="O53" i="4"/>
  <c r="P53" i="4"/>
  <c r="R53" i="4"/>
  <c r="S53" i="4"/>
  <c r="T53" i="4"/>
  <c r="J54" i="4"/>
  <c r="K54" i="4"/>
  <c r="M54" i="4"/>
  <c r="N54" i="4"/>
  <c r="O54" i="4"/>
  <c r="P54" i="4"/>
  <c r="R54" i="4"/>
  <c r="S54" i="4"/>
  <c r="T54" i="4"/>
  <c r="J55" i="4"/>
  <c r="K55" i="4"/>
  <c r="M55" i="4"/>
  <c r="N55" i="4"/>
  <c r="O55" i="4"/>
  <c r="P55" i="4"/>
  <c r="R55" i="4"/>
  <c r="S55" i="4"/>
  <c r="T55" i="4"/>
  <c r="K50" i="4"/>
  <c r="M50" i="4"/>
  <c r="N50" i="4"/>
  <c r="O50" i="4"/>
  <c r="P50" i="4"/>
  <c r="R50" i="4"/>
  <c r="S50" i="4"/>
  <c r="T50" i="4"/>
  <c r="J50" i="4"/>
  <c r="J46" i="4"/>
  <c r="K46" i="4"/>
  <c r="M46" i="4"/>
  <c r="N46" i="4"/>
  <c r="O46" i="4"/>
  <c r="P46" i="4"/>
  <c r="R46" i="4"/>
  <c r="S46" i="4"/>
  <c r="T46" i="4"/>
  <c r="J47" i="4"/>
  <c r="K47" i="4"/>
  <c r="M47" i="4"/>
  <c r="N47" i="4"/>
  <c r="O47" i="4"/>
  <c r="P47" i="4"/>
  <c r="R47" i="4"/>
  <c r="S47" i="4"/>
  <c r="T47" i="4"/>
  <c r="J48" i="4"/>
  <c r="K48" i="4"/>
  <c r="M48" i="4"/>
  <c r="N48" i="4"/>
  <c r="O48" i="4"/>
  <c r="P48" i="4"/>
  <c r="R48" i="4"/>
  <c r="S48" i="4"/>
  <c r="T48" i="4"/>
  <c r="K45" i="4"/>
  <c r="M45" i="4"/>
  <c r="N45" i="4"/>
  <c r="O45" i="4"/>
  <c r="P45" i="4"/>
  <c r="R45" i="4"/>
  <c r="S45" i="4"/>
  <c r="T45" i="4"/>
  <c r="J45" i="4"/>
  <c r="J41" i="4"/>
  <c r="K41" i="4"/>
  <c r="M41" i="4"/>
  <c r="N41" i="4"/>
  <c r="O41" i="4"/>
  <c r="P41" i="4"/>
  <c r="R41" i="4"/>
  <c r="S41" i="4"/>
  <c r="T41" i="4"/>
  <c r="J42" i="4"/>
  <c r="K42" i="4"/>
  <c r="M42" i="4"/>
  <c r="N42" i="4"/>
  <c r="O42" i="4"/>
  <c r="P42" i="4"/>
  <c r="R42" i="4"/>
  <c r="S42" i="4"/>
  <c r="T42" i="4"/>
  <c r="J43" i="4"/>
  <c r="K43" i="4"/>
  <c r="M43" i="4"/>
  <c r="N43" i="4"/>
  <c r="O43" i="4"/>
  <c r="P43" i="4"/>
  <c r="R43" i="4"/>
  <c r="S43" i="4"/>
  <c r="T43" i="4"/>
  <c r="K40" i="4"/>
  <c r="M40" i="4"/>
  <c r="N40" i="4"/>
  <c r="O40" i="4"/>
  <c r="P40" i="4"/>
  <c r="R40" i="4"/>
  <c r="S40" i="4"/>
  <c r="T40" i="4"/>
  <c r="J40" i="4"/>
  <c r="J31" i="4"/>
  <c r="K31" i="4"/>
  <c r="M31" i="4"/>
  <c r="N31" i="4"/>
  <c r="O31" i="4"/>
  <c r="P31" i="4"/>
  <c r="R31" i="4"/>
  <c r="S31" i="4"/>
  <c r="T31" i="4"/>
  <c r="J32" i="4"/>
  <c r="K32" i="4"/>
  <c r="M32" i="4"/>
  <c r="N32" i="4"/>
  <c r="O32" i="4"/>
  <c r="P32" i="4"/>
  <c r="R32" i="4"/>
  <c r="S32" i="4"/>
  <c r="T32" i="4"/>
  <c r="J33" i="4"/>
  <c r="K33" i="4"/>
  <c r="M33" i="4"/>
  <c r="N33" i="4"/>
  <c r="O33" i="4"/>
  <c r="P33" i="4"/>
  <c r="R33" i="4"/>
  <c r="S33" i="4"/>
  <c r="T33" i="4"/>
  <c r="J34" i="4"/>
  <c r="K34" i="4"/>
  <c r="M34" i="4"/>
  <c r="N34" i="4"/>
  <c r="O34" i="4"/>
  <c r="P34" i="4"/>
  <c r="R34" i="4"/>
  <c r="S34" i="4"/>
  <c r="T34" i="4"/>
  <c r="J35" i="4"/>
  <c r="K35" i="4"/>
  <c r="M35" i="4"/>
  <c r="N35" i="4"/>
  <c r="O35" i="4"/>
  <c r="P35" i="4"/>
  <c r="R35" i="4"/>
  <c r="S35" i="4"/>
  <c r="T35" i="4"/>
  <c r="J36" i="4"/>
  <c r="K36" i="4"/>
  <c r="M36" i="4"/>
  <c r="N36" i="4"/>
  <c r="O36" i="4"/>
  <c r="P36" i="4"/>
  <c r="R36" i="4"/>
  <c r="S36" i="4"/>
  <c r="T36" i="4"/>
  <c r="J37" i="4"/>
  <c r="K37" i="4"/>
  <c r="M37" i="4"/>
  <c r="N37" i="4"/>
  <c r="O37" i="4"/>
  <c r="P37" i="4"/>
  <c r="R37" i="4"/>
  <c r="S37" i="4"/>
  <c r="T37" i="4"/>
  <c r="J38" i="4"/>
  <c r="K38" i="4"/>
  <c r="M38" i="4"/>
  <c r="N38" i="4"/>
  <c r="O38" i="4"/>
  <c r="P38" i="4"/>
  <c r="R38" i="4"/>
  <c r="S38" i="4"/>
  <c r="T38" i="4"/>
  <c r="K30" i="4"/>
  <c r="M30" i="4"/>
  <c r="N30" i="4"/>
  <c r="O30" i="4"/>
  <c r="P30" i="4"/>
  <c r="R30" i="4"/>
  <c r="S30" i="4"/>
  <c r="T30" i="4"/>
  <c r="J30" i="4"/>
  <c r="J26" i="4"/>
  <c r="K26" i="4"/>
  <c r="M26" i="4"/>
  <c r="N26" i="4"/>
  <c r="O26" i="4"/>
  <c r="P26" i="4"/>
  <c r="R26" i="4"/>
  <c r="S26" i="4"/>
  <c r="T26" i="4"/>
  <c r="J27" i="4"/>
  <c r="K27" i="4"/>
  <c r="M27" i="4"/>
  <c r="N27" i="4"/>
  <c r="O27" i="4"/>
  <c r="P27" i="4"/>
  <c r="R27" i="4"/>
  <c r="S27" i="4"/>
  <c r="T27" i="4"/>
  <c r="J28" i="4"/>
  <c r="K28" i="4"/>
  <c r="M28" i="4"/>
  <c r="N28" i="4"/>
  <c r="O28" i="4"/>
  <c r="P28" i="4"/>
  <c r="R28" i="4"/>
  <c r="S28" i="4"/>
  <c r="T28" i="4"/>
  <c r="K25" i="4"/>
  <c r="M25" i="4"/>
  <c r="N25" i="4"/>
  <c r="O25" i="4"/>
  <c r="P25" i="4"/>
  <c r="R25" i="4"/>
  <c r="S25" i="4"/>
  <c r="T25" i="4"/>
  <c r="J25" i="4"/>
  <c r="J19" i="4"/>
  <c r="K19" i="4"/>
  <c r="M19" i="4"/>
  <c r="N19" i="4"/>
  <c r="O19" i="4"/>
  <c r="P19" i="4"/>
  <c r="R19" i="4"/>
  <c r="S19" i="4"/>
  <c r="T19" i="4"/>
  <c r="J20" i="4"/>
  <c r="K20" i="4"/>
  <c r="M20" i="4"/>
  <c r="N20" i="4"/>
  <c r="O20" i="4"/>
  <c r="P20" i="4"/>
  <c r="R20" i="4"/>
  <c r="S20" i="4"/>
  <c r="T20" i="4"/>
  <c r="J21" i="4"/>
  <c r="K21" i="4"/>
  <c r="M21" i="4"/>
  <c r="N21" i="4"/>
  <c r="O21" i="4"/>
  <c r="P21" i="4"/>
  <c r="R21" i="4"/>
  <c r="S21" i="4"/>
  <c r="T21" i="4"/>
  <c r="J22" i="4"/>
  <c r="K22" i="4"/>
  <c r="M22" i="4"/>
  <c r="N22" i="4"/>
  <c r="O22" i="4"/>
  <c r="P22" i="4"/>
  <c r="R22" i="4"/>
  <c r="S22" i="4"/>
  <c r="T22" i="4"/>
  <c r="J23" i="4"/>
  <c r="K23" i="4"/>
  <c r="M23" i="4"/>
  <c r="N23" i="4"/>
  <c r="O23" i="4"/>
  <c r="P23" i="4"/>
  <c r="R23" i="4"/>
  <c r="S23" i="4"/>
  <c r="T23" i="4"/>
  <c r="K18" i="4"/>
  <c r="M18" i="4"/>
  <c r="N18" i="4"/>
  <c r="O18" i="4"/>
  <c r="P18" i="4"/>
  <c r="R18" i="4"/>
  <c r="S18" i="4"/>
  <c r="T18" i="4"/>
  <c r="J18" i="4"/>
  <c r="K14" i="4"/>
  <c r="M14" i="4"/>
  <c r="N14" i="4"/>
  <c r="O14" i="4"/>
  <c r="P14" i="4"/>
  <c r="R14" i="4"/>
  <c r="S14" i="4"/>
  <c r="T14" i="4"/>
  <c r="K15" i="4"/>
  <c r="M15" i="4"/>
  <c r="N15" i="4"/>
  <c r="O15" i="4"/>
  <c r="P15" i="4"/>
  <c r="R15" i="4"/>
  <c r="S15" i="4"/>
  <c r="T15" i="4"/>
  <c r="K16" i="4"/>
  <c r="M16" i="4"/>
  <c r="N16" i="4"/>
  <c r="O16" i="4"/>
  <c r="P16" i="4"/>
  <c r="R16" i="4"/>
  <c r="S16" i="4"/>
  <c r="T16" i="4"/>
  <c r="J14" i="4"/>
  <c r="J15" i="4"/>
  <c r="J16" i="4"/>
  <c r="K13" i="4"/>
  <c r="M13" i="4"/>
  <c r="N13" i="4"/>
  <c r="O13" i="4"/>
  <c r="P13" i="4"/>
  <c r="R13" i="4"/>
  <c r="S13" i="4"/>
  <c r="T13" i="4"/>
  <c r="J13" i="4"/>
  <c r="H27" i="4"/>
  <c r="G121" i="4"/>
  <c r="G117" i="4"/>
  <c r="H114" i="4"/>
  <c r="H88" i="4"/>
  <c r="H80" i="4"/>
  <c r="G79" i="4"/>
  <c r="H72" i="4"/>
  <c r="H59" i="4"/>
  <c r="H54" i="4"/>
  <c r="G30" i="4"/>
  <c r="G45" i="4"/>
  <c r="G40" i="4"/>
  <c r="H32" i="4"/>
  <c r="H33" i="4"/>
  <c r="H34" i="4"/>
  <c r="H35" i="4"/>
  <c r="H36" i="4"/>
  <c r="H37" i="4"/>
  <c r="H38" i="4"/>
  <c r="G124" i="4"/>
  <c r="H127" i="4"/>
  <c r="H126" i="4"/>
  <c r="H125" i="4"/>
  <c r="H122" i="4"/>
  <c r="H119" i="4"/>
  <c r="H118" i="4"/>
  <c r="H115" i="4"/>
  <c r="H113" i="4"/>
  <c r="H110" i="4"/>
  <c r="H109" i="4"/>
  <c r="H104" i="4"/>
  <c r="H103" i="4"/>
  <c r="H100" i="4"/>
  <c r="H99" i="4"/>
  <c r="H98" i="4"/>
  <c r="H95" i="4"/>
  <c r="H94" i="4"/>
  <c r="H91" i="4"/>
  <c r="H90" i="4"/>
  <c r="H89" i="4"/>
  <c r="H87" i="4"/>
  <c r="H86" i="4"/>
  <c r="H85" i="4"/>
  <c r="H84" i="4"/>
  <c r="H83" i="4"/>
  <c r="H82" i="4"/>
  <c r="H81" i="4"/>
  <c r="H75" i="4"/>
  <c r="H74" i="4"/>
  <c r="H73" i="4"/>
  <c r="H71" i="4"/>
  <c r="H70" i="4"/>
  <c r="G69" i="4"/>
  <c r="H67" i="4"/>
  <c r="H66" i="4"/>
  <c r="H65" i="4"/>
  <c r="H64" i="4"/>
  <c r="H58" i="4"/>
  <c r="H55" i="4"/>
  <c r="H53" i="4"/>
  <c r="H52" i="4"/>
  <c r="H51" i="4"/>
  <c r="G50" i="4"/>
  <c r="H48" i="4"/>
  <c r="H47" i="4"/>
  <c r="H46" i="4"/>
  <c r="H43" i="4"/>
  <c r="H42" i="4"/>
  <c r="H41" i="4"/>
  <c r="H31" i="4"/>
  <c r="H28" i="4"/>
  <c r="H26" i="4"/>
  <c r="G25" i="4"/>
  <c r="H23" i="4"/>
  <c r="H22" i="4"/>
  <c r="H21" i="4"/>
  <c r="H20" i="4"/>
  <c r="H19" i="4"/>
  <c r="H18" i="4"/>
  <c r="H16" i="4"/>
  <c r="H15" i="4"/>
  <c r="H14" i="4"/>
  <c r="G13" i="4"/>
</calcChain>
</file>

<file path=xl/sharedStrings.xml><?xml version="1.0" encoding="utf-8"?>
<sst xmlns="http://schemas.openxmlformats.org/spreadsheetml/2006/main" count="117" uniqueCount="115">
  <si>
    <t>Panel A. Subsidies</t>
  </si>
  <si>
    <t>Panel B. Nudges and Marketing</t>
  </si>
  <si>
    <t>Panel C. Revenue Raisers</t>
  </si>
  <si>
    <t>Panel D. International</t>
  </si>
  <si>
    <t>WTP</t>
  </si>
  <si>
    <t>MVPF</t>
  </si>
  <si>
    <t>Transfer</t>
  </si>
  <si>
    <t>Env.</t>
  </si>
  <si>
    <t>Price</t>
  </si>
  <si>
    <t>Profits</t>
  </si>
  <si>
    <t>Learning by Doing</t>
  </si>
  <si>
    <t>Total</t>
  </si>
  <si>
    <t>Willingness to Pay</t>
  </si>
  <si>
    <t>Cost</t>
  </si>
  <si>
    <t>program_label_short</t>
  </si>
  <si>
    <t>Wind Production Credits</t>
  </si>
  <si>
    <t>PTC (Shrimali)</t>
  </si>
  <si>
    <t>PTC (Metcalf)</t>
  </si>
  <si>
    <t>PTC (Hitaj)</t>
  </si>
  <si>
    <t>Residential Solar</t>
  </si>
  <si>
    <t>CSI</t>
  </si>
  <si>
    <t>NE Solar</t>
  </si>
  <si>
    <t>CSI (TPO)</t>
  </si>
  <si>
    <t>CSI (HO)</t>
  </si>
  <si>
    <t>CT Solar</t>
  </si>
  <si>
    <t>Electric Vehicles</t>
  </si>
  <si>
    <t>BEV (State - Rebate)</t>
  </si>
  <si>
    <t>ITC (EV)</t>
  </si>
  <si>
    <t>EFMP</t>
  </si>
  <si>
    <t>Appliance Rebates</t>
  </si>
  <si>
    <t>C4A (CW)</t>
  </si>
  <si>
    <t>ES (CW)</t>
  </si>
  <si>
    <t>ES (WH)</t>
  </si>
  <si>
    <t>C4A (DW)</t>
  </si>
  <si>
    <t>C4A (Fridge)</t>
  </si>
  <si>
    <t>ES (Fridge)</t>
  </si>
  <si>
    <t>ES (DW)</t>
  </si>
  <si>
    <t>CA ESA</t>
  </si>
  <si>
    <t>Vehicle Retirement</t>
  </si>
  <si>
    <t>C4C (TX)</t>
  </si>
  <si>
    <t>BAAQMD</t>
  </si>
  <si>
    <t>C4C (US)</t>
  </si>
  <si>
    <t>Hybrid Vehicles</t>
  </si>
  <si>
    <t>HY (S-STW)</t>
  </si>
  <si>
    <t>HY (F-ITC)</t>
  </si>
  <si>
    <t>HY (S-ITC)</t>
  </si>
  <si>
    <t>Weatherization</t>
  </si>
  <si>
    <t>EPP</t>
  </si>
  <si>
    <t>IHWAP</t>
  </si>
  <si>
    <t>WAP</t>
  </si>
  <si>
    <t>LEEP+</t>
  </si>
  <si>
    <t>WI RF</t>
  </si>
  <si>
    <t>Other Subsidies</t>
  </si>
  <si>
    <t>CA 20/20</t>
  </si>
  <si>
    <t>CRP</t>
  </si>
  <si>
    <t>Home Energy Reports</t>
  </si>
  <si>
    <t>HER (17 RCTs)</t>
  </si>
  <si>
    <t>Opower Elec. (166 RCTs)</t>
  </si>
  <si>
    <t>PER</t>
  </si>
  <si>
    <t>Opower Nat. Gas (52 RCTs)</t>
  </si>
  <si>
    <t>Other Nudges</t>
  </si>
  <si>
    <t>Solarize</t>
  </si>
  <si>
    <t>Audit Nudge</t>
  </si>
  <si>
    <t>ES (WH) + Nudge</t>
  </si>
  <si>
    <t>IHWAP + Nudge (H)</t>
  </si>
  <si>
    <t>IHWAP + Nudge (L)</t>
  </si>
  <si>
    <t>WAP + Nudge</t>
  </si>
  <si>
    <t>Gasoline Taxes</t>
  </si>
  <si>
    <t>Gas (DK)</t>
  </si>
  <si>
    <t>Gas (Su)</t>
  </si>
  <si>
    <t>Gas (Coglianese)</t>
  </si>
  <si>
    <t>Gas (Manzan)</t>
  </si>
  <si>
    <t>Gas (Small)</t>
  </si>
  <si>
    <t>Gas (Li)</t>
  </si>
  <si>
    <t>Gas (Levin)</t>
  </si>
  <si>
    <t>Gas (Sentenac-Chemin)</t>
  </si>
  <si>
    <t>Gas (Park)</t>
  </si>
  <si>
    <t>Gas (Kilian)</t>
  </si>
  <si>
    <t>Gas (Gelman)</t>
  </si>
  <si>
    <t>Gas (Hughes)</t>
  </si>
  <si>
    <t>Other Fuel Taxes</t>
  </si>
  <si>
    <t>Jet Fuel</t>
  </si>
  <si>
    <t>Diesel</t>
  </si>
  <si>
    <t>Other Revenue Raisers</t>
  </si>
  <si>
    <t>CPP (AJ)</t>
  </si>
  <si>
    <t>CARE</t>
  </si>
  <si>
    <t>CPP (PJ)</t>
  </si>
  <si>
    <t>Cap and Trade</t>
  </si>
  <si>
    <t>RGGI</t>
  </si>
  <si>
    <t>CA CT</t>
  </si>
  <si>
    <t>Cookstoves</t>
  </si>
  <si>
    <t>Cookstove (Kenya)</t>
  </si>
  <si>
    <t>Cookstove (India)</t>
  </si>
  <si>
    <t>Deforestation</t>
  </si>
  <si>
    <t>REDD+ (SL)</t>
  </si>
  <si>
    <t>Deforest (Uganda)</t>
  </si>
  <si>
    <t>REDD+</t>
  </si>
  <si>
    <t>Rice Burning</t>
  </si>
  <si>
    <t>India PES (Upfront)</t>
  </si>
  <si>
    <t>India PES (Standard)</t>
  </si>
  <si>
    <t>Wind Offset</t>
  </si>
  <si>
    <t>Offset (India)</t>
  </si>
  <si>
    <t>International Rebates</t>
  </si>
  <si>
    <t>Fridge (Mexico)</t>
  </si>
  <si>
    <t>AC (Mexico)</t>
  </si>
  <si>
    <t>WAP (Mexico)</t>
  </si>
  <si>
    <t>transfer</t>
  </si>
  <si>
    <t>env_cost_wtp</t>
  </si>
  <si>
    <t>cost_wtp</t>
  </si>
  <si>
    <t>producers</t>
  </si>
  <si>
    <t>cost</t>
  </si>
  <si>
    <t>wtp_env</t>
  </si>
  <si>
    <t>fisc_tot</t>
  </si>
  <si>
    <t>Env. Benefits</t>
  </si>
  <si>
    <t>Fiscal Externality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</si>
</sst>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LM Roman 10"/>
    </font>
    <font>
      <b/>
      <sz val="18"/>
      <color theme="1"/>
      <name val="LM Roman 10"/>
    </font>
    <font>
      <b/>
      <sz val="20"/>
      <color theme="1"/>
      <name val="LM Roman 10"/>
    </font>
    <font>
      <sz val="18"/>
      <color theme="1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1" fontId="0" fillId="0" borderId="0" xfId="0" applyNumberFormat="1" applyFill="1"/>
    <xf numFmtId="164" fontId="2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4" fillId="2" borderId="0" xfId="0" applyFont="1" applyFill="1" applyAlignment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zoomScale="88" zoomScaleNormal="70" workbookViewId="0">
      <pane ySplit="1" topLeftCell="A2" activePane="bottomLeft" state="frozen"/>
      <selection pane="bottomLeft" activeCell="H14" sqref="H14"/>
    </sheetView>
  </sheetViews>
  <sheetFormatPr defaultColWidth="9.109375" defaultRowHeight="14.4" x14ac:dyDescent="0.3"/>
  <cols>
    <col min="1" max="1" width="24.6640625" style="1" bestFit="1" customWidth="1"/>
    <col min="2" max="2" width="57.88671875" style="1" bestFit="1" customWidth="1"/>
    <col min="3" max="3" width="21.109375" style="1" bestFit="1" customWidth="1"/>
    <col min="4" max="4" width="16" style="1" bestFit="1" customWidth="1"/>
    <col min="5" max="5" width="19.44140625" style="1" bestFit="1" customWidth="1"/>
    <col min="6" max="6" width="26.109375" style="1" bestFit="1" customWidth="1"/>
    <col min="7" max="7" width="19.109375" style="1" customWidth="1"/>
    <col min="8" max="8" width="19.109375" style="1" bestFit="1" customWidth="1"/>
    <col min="9" max="9" width="14.44140625" style="1" bestFit="1" customWidth="1"/>
    <col min="10" max="10" width="12.109375" style="1" bestFit="1" customWidth="1"/>
    <col min="11" max="11" width="10.21875" style="1" bestFit="1" customWidth="1"/>
    <col min="12" max="16384" width="9.109375" style="1"/>
  </cols>
  <sheetData>
    <row r="1" spans="1:10" x14ac:dyDescent="0.3">
      <c r="A1" s="1" t="s">
        <v>14</v>
      </c>
      <c r="B1" s="1" t="s">
        <v>106</v>
      </c>
      <c r="C1" s="1" t="s">
        <v>111</v>
      </c>
      <c r="D1" s="1" t="s">
        <v>107</v>
      </c>
      <c r="E1" s="1" t="s">
        <v>108</v>
      </c>
      <c r="F1" s="1" t="s">
        <v>109</v>
      </c>
      <c r="G1" s="1" t="s">
        <v>4</v>
      </c>
      <c r="H1" s="1" t="s">
        <v>112</v>
      </c>
      <c r="I1" s="1" t="s">
        <v>110</v>
      </c>
      <c r="J1" s="1" t="s">
        <v>5</v>
      </c>
    </row>
    <row r="2" spans="1:10" x14ac:dyDescent="0.3">
      <c r="A2" s="1" t="s">
        <v>15</v>
      </c>
      <c r="B2" s="1">
        <v>1</v>
      </c>
      <c r="C2" s="1">
        <v>4.2477799999999997</v>
      </c>
      <c r="D2" s="1">
        <v>1.900318</v>
      </c>
      <c r="E2" s="1">
        <v>0.64493160000000005</v>
      </c>
      <c r="F2" s="1">
        <v>0</v>
      </c>
      <c r="G2" s="1">
        <v>7.7930299999999999</v>
      </c>
      <c r="H2" s="1">
        <v>0.3276403</v>
      </c>
      <c r="I2" s="1">
        <v>1.3276399999999999</v>
      </c>
      <c r="J2" s="1">
        <v>5.8698350000000001</v>
      </c>
    </row>
    <row r="3" spans="1:10" x14ac:dyDescent="0.3">
      <c r="A3" s="1" t="s">
        <v>16</v>
      </c>
      <c r="B3" s="1">
        <v>1</v>
      </c>
      <c r="C3" s="1">
        <v>5.3255970000000001</v>
      </c>
      <c r="D3" s="1">
        <v>3.276529</v>
      </c>
      <c r="E3" s="1">
        <v>0.91962100000000002</v>
      </c>
      <c r="F3" s="1">
        <v>0</v>
      </c>
      <c r="G3" s="1">
        <v>10.521750000000001</v>
      </c>
      <c r="H3" s="1">
        <v>0.39422010000000002</v>
      </c>
      <c r="I3" s="1">
        <v>1.39422</v>
      </c>
      <c r="J3" s="1">
        <v>7.5466899999999999</v>
      </c>
    </row>
    <row r="4" spans="1:10" x14ac:dyDescent="0.3">
      <c r="A4" s="1" t="s">
        <v>17</v>
      </c>
      <c r="B4" s="1">
        <v>1</v>
      </c>
      <c r="C4" s="1">
        <v>3.9663249999999999</v>
      </c>
      <c r="D4" s="1">
        <v>1.4268289999999999</v>
      </c>
      <c r="E4" s="1">
        <v>0.55988090000000001</v>
      </c>
      <c r="F4" s="1">
        <v>0</v>
      </c>
      <c r="G4" s="1">
        <v>6.9530349999999999</v>
      </c>
      <c r="H4" s="1">
        <v>0.31237340000000002</v>
      </c>
      <c r="I4" s="1">
        <v>1.312373</v>
      </c>
      <c r="J4" s="1">
        <v>5.2980609999999997</v>
      </c>
    </row>
    <row r="5" spans="1:10" x14ac:dyDescent="0.3">
      <c r="A5" s="1" t="s">
        <v>18</v>
      </c>
      <c r="B5" s="1">
        <v>1</v>
      </c>
      <c r="C5" s="1">
        <v>3.451419</v>
      </c>
      <c r="D5" s="1">
        <v>0.9975948</v>
      </c>
      <c r="E5" s="1">
        <v>0.4552929</v>
      </c>
      <c r="F5" s="1">
        <v>0</v>
      </c>
      <c r="G5" s="1">
        <v>5.9043070000000002</v>
      </c>
      <c r="H5" s="1">
        <v>0.2763275</v>
      </c>
      <c r="I5" s="1">
        <v>1.276327</v>
      </c>
      <c r="J5" s="1">
        <v>4.6260130000000004</v>
      </c>
    </row>
    <row r="6" spans="1:10" x14ac:dyDescent="0.3">
      <c r="A6" s="1" t="s">
        <v>19</v>
      </c>
      <c r="B6" s="1">
        <v>1.1055999999999999</v>
      </c>
      <c r="C6" s="1">
        <v>1.5485390000000001</v>
      </c>
      <c r="D6" s="1">
        <v>2.2798669999999999</v>
      </c>
      <c r="E6" s="1">
        <v>1.635643</v>
      </c>
      <c r="F6" s="1">
        <v>-0.2137665</v>
      </c>
      <c r="G6" s="1">
        <v>6.3558830000000004</v>
      </c>
      <c r="H6" s="1">
        <v>0.64589640000000004</v>
      </c>
      <c r="I6" s="1">
        <v>1.645896</v>
      </c>
      <c r="J6" s="1">
        <v>3.8616540000000001</v>
      </c>
    </row>
    <row r="7" spans="1:10" x14ac:dyDescent="0.3">
      <c r="A7" s="1" t="s">
        <v>20</v>
      </c>
      <c r="B7" s="1">
        <v>1</v>
      </c>
      <c r="C7" s="1">
        <v>3.8758750000000002</v>
      </c>
      <c r="D7" s="1">
        <v>4.9876329999999998</v>
      </c>
      <c r="E7" s="1">
        <v>3.98739</v>
      </c>
      <c r="F7" s="1">
        <v>-0.53504110000000005</v>
      </c>
      <c r="G7" s="1">
        <v>13.315860000000001</v>
      </c>
      <c r="H7" s="1">
        <v>1.6298919999999999</v>
      </c>
      <c r="I7" s="1">
        <v>2.6298919999999999</v>
      </c>
      <c r="J7" s="1">
        <v>5.0632710000000003</v>
      </c>
    </row>
    <row r="8" spans="1:10" x14ac:dyDescent="0.3">
      <c r="A8" s="1" t="s">
        <v>21</v>
      </c>
      <c r="B8" s="1">
        <v>1</v>
      </c>
      <c r="C8" s="1">
        <v>1.0996710000000001</v>
      </c>
      <c r="D8" s="1">
        <v>3.1323279999999998</v>
      </c>
      <c r="E8" s="1">
        <v>1.6098779999999999</v>
      </c>
      <c r="F8" s="1">
        <v>-0.15180289999999999</v>
      </c>
      <c r="G8" s="1">
        <v>6.6900740000000001</v>
      </c>
      <c r="H8" s="1">
        <v>0.43070940000000002</v>
      </c>
      <c r="I8" s="1">
        <v>1.430709</v>
      </c>
      <c r="J8" s="1">
        <v>4.6760539999999997</v>
      </c>
    </row>
    <row r="9" spans="1:10" x14ac:dyDescent="0.3">
      <c r="A9" s="1" t="s">
        <v>22</v>
      </c>
      <c r="B9" s="1">
        <v>1.528</v>
      </c>
      <c r="C9" s="1">
        <v>1.4464570000000001</v>
      </c>
      <c r="D9" s="1">
        <v>1.982251</v>
      </c>
      <c r="E9" s="1">
        <v>1.371067</v>
      </c>
      <c r="F9" s="1">
        <v>-0.19967470000000001</v>
      </c>
      <c r="G9" s="1">
        <v>6.128101</v>
      </c>
      <c r="H9" s="1">
        <v>0.60612149999999998</v>
      </c>
      <c r="I9" s="1">
        <v>1.6061209999999999</v>
      </c>
      <c r="J9" s="1">
        <v>3.8154659999999998</v>
      </c>
    </row>
    <row r="10" spans="1:10" x14ac:dyDescent="0.3">
      <c r="A10" s="1" t="s">
        <v>23</v>
      </c>
      <c r="B10" s="1">
        <v>1</v>
      </c>
      <c r="C10" s="1">
        <v>0.8401305</v>
      </c>
      <c r="D10" s="1">
        <v>1.0811139999999999</v>
      </c>
      <c r="E10" s="1">
        <v>0.86430249999999997</v>
      </c>
      <c r="F10" s="1">
        <v>-0.11597490000000001</v>
      </c>
      <c r="G10" s="1">
        <v>3.6695720000000001</v>
      </c>
      <c r="H10" s="1">
        <v>0.35329369999999999</v>
      </c>
      <c r="I10" s="1">
        <v>1.353294</v>
      </c>
      <c r="J10" s="1">
        <v>2.7115860000000001</v>
      </c>
    </row>
    <row r="11" spans="1:10" x14ac:dyDescent="0.3">
      <c r="A11" s="1" t="s">
        <v>24</v>
      </c>
      <c r="B11" s="1">
        <v>1</v>
      </c>
      <c r="C11" s="1">
        <v>0.48056339999999997</v>
      </c>
      <c r="D11" s="1">
        <v>0.2160097</v>
      </c>
      <c r="E11" s="1">
        <v>0.34557589999999999</v>
      </c>
      <c r="F11" s="1">
        <v>-6.6338900000000006E-2</v>
      </c>
      <c r="G11" s="1">
        <v>1.9758100000000001</v>
      </c>
      <c r="H11" s="1">
        <v>0.2094654</v>
      </c>
      <c r="I11" s="1">
        <v>1.209465</v>
      </c>
      <c r="J11" s="1">
        <v>1.633623</v>
      </c>
    </row>
    <row r="12" spans="1:10" x14ac:dyDescent="0.3">
      <c r="A12" s="1" t="s">
        <v>25</v>
      </c>
      <c r="B12" s="1">
        <v>1</v>
      </c>
      <c r="C12" s="1">
        <v>8.8997800000000002E-2</v>
      </c>
      <c r="D12" s="1">
        <v>7.33491E-2</v>
      </c>
      <c r="E12" s="1">
        <v>0.45164759999999998</v>
      </c>
      <c r="F12" s="1">
        <v>-4.2789899999999999E-2</v>
      </c>
      <c r="G12" s="1">
        <v>1.571205</v>
      </c>
      <c r="H12" s="1">
        <v>8.7151400000000004E-2</v>
      </c>
      <c r="I12" s="1">
        <v>1.087151</v>
      </c>
      <c r="J12" s="1">
        <v>1.445249</v>
      </c>
    </row>
    <row r="13" spans="1:10" x14ac:dyDescent="0.3">
      <c r="A13" s="1" t="s">
        <v>26</v>
      </c>
      <c r="B13" s="1">
        <v>1</v>
      </c>
      <c r="C13" s="1">
        <v>0.10679660000000001</v>
      </c>
      <c r="D13" s="1">
        <v>0.1027134</v>
      </c>
      <c r="E13" s="1">
        <v>0.56373790000000001</v>
      </c>
      <c r="F13" s="1">
        <v>-5.1347499999999997E-2</v>
      </c>
      <c r="G13" s="1">
        <v>1.7219</v>
      </c>
      <c r="H13" s="1">
        <v>0.10289429999999999</v>
      </c>
      <c r="I13" s="1">
        <v>1.102894</v>
      </c>
      <c r="J13" s="1">
        <v>1.561256</v>
      </c>
    </row>
    <row r="14" spans="1:10" x14ac:dyDescent="0.3">
      <c r="A14" s="1" t="s">
        <v>27</v>
      </c>
      <c r="B14" s="1">
        <v>1</v>
      </c>
      <c r="C14" s="1">
        <v>9.5150700000000005E-2</v>
      </c>
      <c r="D14" s="1">
        <v>7.7701800000000001E-2</v>
      </c>
      <c r="E14" s="1">
        <v>0.48204710000000001</v>
      </c>
      <c r="F14" s="1">
        <v>-4.5748200000000003E-2</v>
      </c>
      <c r="G14" s="1">
        <v>1.609151</v>
      </c>
      <c r="H14" s="1">
        <v>9.19185E-2</v>
      </c>
      <c r="I14" s="1">
        <v>1.0919179999999999</v>
      </c>
      <c r="J14" s="1">
        <v>1.473692</v>
      </c>
    </row>
    <row r="15" spans="1:10" x14ac:dyDescent="0.3">
      <c r="A15" s="1" t="s">
        <v>28</v>
      </c>
      <c r="B15" s="1">
        <v>1</v>
      </c>
      <c r="C15" s="1">
        <v>6.5046199999999998E-2</v>
      </c>
      <c r="D15" s="1">
        <v>3.9632100000000003E-2</v>
      </c>
      <c r="E15" s="1">
        <v>0.30915779999999998</v>
      </c>
      <c r="F15" s="1">
        <v>-3.1274099999999999E-2</v>
      </c>
      <c r="G15" s="1">
        <v>1.3825620000000001</v>
      </c>
      <c r="H15" s="1">
        <v>6.6641400000000003E-2</v>
      </c>
      <c r="I15" s="1">
        <v>1.066641</v>
      </c>
      <c r="J15" s="1">
        <v>1.2961830000000001</v>
      </c>
    </row>
    <row r="16" spans="1:10" x14ac:dyDescent="0.3">
      <c r="A16" s="1" t="s">
        <v>29</v>
      </c>
      <c r="B16" s="1">
        <v>0.86747830000000004</v>
      </c>
      <c r="C16" s="1">
        <v>0.45064989999999999</v>
      </c>
      <c r="D16" s="1">
        <v>0</v>
      </c>
      <c r="E16" s="1">
        <v>0</v>
      </c>
      <c r="F16" s="1">
        <v>-0.1031324</v>
      </c>
      <c r="G16" s="1">
        <v>1.214996</v>
      </c>
      <c r="H16" s="1">
        <v>4.3586800000000002E-2</v>
      </c>
      <c r="I16" s="1">
        <v>1.043587</v>
      </c>
      <c r="J16" s="1">
        <v>1.16425</v>
      </c>
    </row>
    <row r="17" spans="1:10" x14ac:dyDescent="0.3">
      <c r="A17" s="1" t="s">
        <v>30</v>
      </c>
      <c r="B17" s="1">
        <v>0.95250000000000001</v>
      </c>
      <c r="C17" s="1">
        <v>0.50880340000000002</v>
      </c>
      <c r="D17" s="1">
        <v>0</v>
      </c>
      <c r="E17" s="1">
        <v>0</v>
      </c>
      <c r="F17" s="1">
        <v>-3.8752099999999998E-2</v>
      </c>
      <c r="G17" s="1">
        <v>1.4225509999999999</v>
      </c>
      <c r="H17" s="1">
        <v>1.24157E-2</v>
      </c>
      <c r="I17" s="1">
        <v>1.012416</v>
      </c>
      <c r="J17" s="1">
        <v>1.405106</v>
      </c>
    </row>
    <row r="18" spans="1:10" x14ac:dyDescent="0.3">
      <c r="A18" s="1" t="s">
        <v>32</v>
      </c>
      <c r="B18" s="1">
        <v>0.59782610000000003</v>
      </c>
      <c r="C18" s="1">
        <v>1.505917</v>
      </c>
      <c r="D18" s="1">
        <v>0</v>
      </c>
      <c r="E18" s="1">
        <v>0</v>
      </c>
      <c r="F18" s="1">
        <v>-0.65867869999999995</v>
      </c>
      <c r="G18" s="1">
        <v>1.445065</v>
      </c>
      <c r="H18" s="1">
        <v>7.8375299999999995E-2</v>
      </c>
      <c r="I18" s="1">
        <v>1.0783750000000001</v>
      </c>
      <c r="J18" s="1">
        <v>1.340039</v>
      </c>
    </row>
    <row r="19" spans="1:10" x14ac:dyDescent="0.3">
      <c r="A19" s="1" t="s">
        <v>31</v>
      </c>
      <c r="B19" s="1">
        <v>1</v>
      </c>
      <c r="C19" s="1">
        <v>0.79383159999999997</v>
      </c>
      <c r="D19" s="1">
        <v>0</v>
      </c>
      <c r="E19" s="1">
        <v>0</v>
      </c>
      <c r="F19" s="1">
        <v>-7.1863700000000003E-2</v>
      </c>
      <c r="G19" s="1">
        <v>1.7219679999999999</v>
      </c>
      <c r="H19" s="1">
        <v>0.314836</v>
      </c>
      <c r="I19" s="1">
        <v>1.3148359999999999</v>
      </c>
      <c r="J19" s="1">
        <v>1.3096449999999999</v>
      </c>
    </row>
    <row r="20" spans="1:10" x14ac:dyDescent="0.3">
      <c r="A20" s="1" t="s">
        <v>33</v>
      </c>
      <c r="B20" s="1">
        <v>0.92949999999999999</v>
      </c>
      <c r="C20" s="1">
        <v>0.2253946</v>
      </c>
      <c r="D20" s="1">
        <v>0</v>
      </c>
      <c r="E20" s="1">
        <v>0</v>
      </c>
      <c r="F20" s="1">
        <v>-1.6616300000000001E-2</v>
      </c>
      <c r="G20" s="1">
        <v>1.1382779999999999</v>
      </c>
      <c r="H20" s="1">
        <v>5.2036000000000001E-3</v>
      </c>
      <c r="I20" s="1">
        <v>1.005204</v>
      </c>
      <c r="J20" s="1">
        <v>1.1323859999999999</v>
      </c>
    </row>
    <row r="21" spans="1:10" x14ac:dyDescent="0.3">
      <c r="A21" s="1" t="s">
        <v>36</v>
      </c>
      <c r="B21" s="1">
        <v>1</v>
      </c>
      <c r="C21" s="1">
        <v>-0.2053294</v>
      </c>
      <c r="D21" s="1">
        <v>0</v>
      </c>
      <c r="E21" s="1">
        <v>0</v>
      </c>
      <c r="F21" s="1">
        <v>1.8588E-2</v>
      </c>
      <c r="G21" s="1">
        <v>0.81325860000000005</v>
      </c>
      <c r="H21" s="1">
        <v>-0.22795270000000001</v>
      </c>
      <c r="I21" s="1">
        <v>0.77204729999999999</v>
      </c>
      <c r="J21" s="1">
        <v>1.0533790000000001</v>
      </c>
    </row>
    <row r="22" spans="1:10" x14ac:dyDescent="0.3">
      <c r="A22" s="1" t="s">
        <v>34</v>
      </c>
      <c r="B22" s="1">
        <v>0.95999990000000002</v>
      </c>
      <c r="C22" s="1">
        <v>9.1472300000000006E-2</v>
      </c>
      <c r="D22" s="1">
        <v>0</v>
      </c>
      <c r="E22" s="1">
        <v>0</v>
      </c>
      <c r="F22" s="1">
        <v>-7.1806999999999999E-3</v>
      </c>
      <c r="G22" s="1">
        <v>1.044292</v>
      </c>
      <c r="H22" s="1">
        <v>2.3471999999999998E-3</v>
      </c>
      <c r="I22" s="1">
        <v>1.0023470000000001</v>
      </c>
      <c r="J22" s="1">
        <v>1.041846</v>
      </c>
    </row>
    <row r="23" spans="1:10" x14ac:dyDescent="0.3">
      <c r="A23" s="1" t="s">
        <v>35</v>
      </c>
      <c r="B23" s="1">
        <v>1</v>
      </c>
      <c r="C23" s="1">
        <v>0.18327270000000001</v>
      </c>
      <c r="D23" s="1">
        <v>0</v>
      </c>
      <c r="E23" s="1">
        <v>0</v>
      </c>
      <c r="F23" s="1">
        <v>-1.65912E-2</v>
      </c>
      <c r="G23" s="1">
        <v>1.1666810000000001</v>
      </c>
      <c r="H23" s="1">
        <v>0.15350910000000001</v>
      </c>
      <c r="I23" s="1">
        <v>1.1535089999999999</v>
      </c>
      <c r="J23" s="1">
        <v>1.0114190000000001</v>
      </c>
    </row>
    <row r="24" spans="1:10" x14ac:dyDescent="0.3">
      <c r="A24" s="1" t="s">
        <v>37</v>
      </c>
      <c r="B24" s="1">
        <v>0.5</v>
      </c>
      <c r="C24" s="1">
        <v>0.50183639999999996</v>
      </c>
      <c r="D24" s="1">
        <v>0</v>
      </c>
      <c r="E24" s="1">
        <v>0</v>
      </c>
      <c r="F24" s="1">
        <v>-3.3964899999999999E-2</v>
      </c>
      <c r="G24" s="1">
        <v>0.96787160000000005</v>
      </c>
      <c r="H24" s="1">
        <v>9.9600000000000001E-3</v>
      </c>
      <c r="I24" s="1">
        <v>1.00996</v>
      </c>
      <c r="J24" s="1">
        <v>0.95832660000000003</v>
      </c>
    </row>
    <row r="25" spans="1:10" x14ac:dyDescent="0.3">
      <c r="A25" s="1" t="s">
        <v>38</v>
      </c>
      <c r="B25" s="1">
        <v>0.91011240000000004</v>
      </c>
      <c r="C25" s="1">
        <v>0.24524000000000001</v>
      </c>
      <c r="D25" s="1">
        <v>0</v>
      </c>
      <c r="E25" s="1">
        <v>0</v>
      </c>
      <c r="F25" s="1">
        <v>-4.9273600000000001E-2</v>
      </c>
      <c r="G25" s="1">
        <v>1.106079</v>
      </c>
      <c r="H25" s="1">
        <v>5.5976699999999997E-2</v>
      </c>
      <c r="I25" s="1">
        <v>1.0559769999999999</v>
      </c>
      <c r="J25" s="1">
        <v>1.0474460000000001</v>
      </c>
    </row>
    <row r="26" spans="1:10" x14ac:dyDescent="0.3">
      <c r="A26" s="1" t="s">
        <v>39</v>
      </c>
      <c r="B26" s="1">
        <v>1</v>
      </c>
      <c r="C26" s="1">
        <v>0.2313007</v>
      </c>
      <c r="D26" s="1">
        <v>0</v>
      </c>
      <c r="E26" s="1">
        <v>0</v>
      </c>
      <c r="F26" s="1">
        <v>-7.4098399999999995E-2</v>
      </c>
      <c r="G26" s="1">
        <v>1.1572020000000001</v>
      </c>
      <c r="H26" s="1">
        <v>8.4411600000000003E-2</v>
      </c>
      <c r="I26" s="1">
        <v>1.0844119999999999</v>
      </c>
      <c r="J26" s="1">
        <v>1.0671250000000001</v>
      </c>
    </row>
    <row r="27" spans="1:10" x14ac:dyDescent="0.3">
      <c r="A27" s="1" t="s">
        <v>41</v>
      </c>
      <c r="B27" s="1">
        <v>1</v>
      </c>
      <c r="C27" s="1">
        <v>0.1507279</v>
      </c>
      <c r="D27" s="1">
        <v>0</v>
      </c>
      <c r="E27" s="1">
        <v>0</v>
      </c>
      <c r="F27" s="1">
        <v>-4.8607299999999999E-2</v>
      </c>
      <c r="G27" s="1">
        <v>1.1021209999999999</v>
      </c>
      <c r="H27" s="1">
        <v>5.5380899999999997E-2</v>
      </c>
      <c r="I27" s="1">
        <v>1.0553809999999999</v>
      </c>
      <c r="J27" s="1">
        <v>1.044287</v>
      </c>
    </row>
    <row r="28" spans="1:10" x14ac:dyDescent="0.3">
      <c r="A28" s="1" t="s">
        <v>40</v>
      </c>
      <c r="B28" s="1">
        <v>0.73033709999999996</v>
      </c>
      <c r="C28" s="1">
        <v>0.35369139999999999</v>
      </c>
      <c r="D28" s="1">
        <v>0</v>
      </c>
      <c r="E28" s="1">
        <v>0</v>
      </c>
      <c r="F28" s="1">
        <v>-2.5115200000000001E-2</v>
      </c>
      <c r="G28" s="1">
        <v>1.058913</v>
      </c>
      <c r="H28" s="1">
        <v>2.8137599999999999E-2</v>
      </c>
      <c r="I28" s="1">
        <v>1.028138</v>
      </c>
      <c r="J28" s="1">
        <v>1.029933</v>
      </c>
    </row>
    <row r="29" spans="1:10" x14ac:dyDescent="0.3">
      <c r="A29" s="1" t="s">
        <v>42</v>
      </c>
      <c r="B29" s="1">
        <v>1</v>
      </c>
      <c r="C29" s="1">
        <v>8.1382999999999994E-3</v>
      </c>
      <c r="D29" s="1">
        <v>3.8830000000000001E-4</v>
      </c>
      <c r="E29" s="1">
        <v>1.38026E-2</v>
      </c>
      <c r="F29" s="1">
        <v>-6.4311000000000004E-3</v>
      </c>
      <c r="G29" s="1">
        <v>1.015898</v>
      </c>
      <c r="H29" s="1">
        <v>3.6840000000000002E-3</v>
      </c>
      <c r="I29" s="1">
        <v>1.003684</v>
      </c>
      <c r="J29" s="1">
        <v>1.0121690000000001</v>
      </c>
    </row>
    <row r="30" spans="1:10" x14ac:dyDescent="0.3">
      <c r="A30" s="1" t="s">
        <v>43</v>
      </c>
      <c r="B30" s="1">
        <v>1</v>
      </c>
      <c r="C30" s="1">
        <v>1.8095900000000002E-2</v>
      </c>
      <c r="D30" s="1">
        <v>1.0736999999999999E-3</v>
      </c>
      <c r="E30" s="1">
        <v>3.0823699999999999E-2</v>
      </c>
      <c r="F30" s="1">
        <v>-1.42997E-2</v>
      </c>
      <c r="G30" s="1">
        <v>1.0356939999999999</v>
      </c>
      <c r="H30" s="1">
        <v>8.1831999999999998E-3</v>
      </c>
      <c r="I30" s="1">
        <v>1.0081830000000001</v>
      </c>
      <c r="J30" s="1">
        <v>1.0272870000000001</v>
      </c>
    </row>
    <row r="31" spans="1:10" x14ac:dyDescent="0.3">
      <c r="A31" s="1" t="s">
        <v>44</v>
      </c>
      <c r="B31" s="1">
        <v>1</v>
      </c>
      <c r="C31" s="1">
        <v>5.1932000000000002E-3</v>
      </c>
      <c r="D31" s="1">
        <v>8.7000000000000001E-5</v>
      </c>
      <c r="E31" s="1">
        <v>8.7060999999999996E-3</v>
      </c>
      <c r="F31" s="1">
        <v>-4.1038000000000003E-3</v>
      </c>
      <c r="G31" s="1">
        <v>1.0098830000000001</v>
      </c>
      <c r="H31" s="1">
        <v>2.3571E-3</v>
      </c>
      <c r="I31" s="1">
        <v>1.0023569999999999</v>
      </c>
      <c r="J31" s="1">
        <v>1.0075080000000001</v>
      </c>
    </row>
    <row r="32" spans="1:10" x14ac:dyDescent="0.3">
      <c r="A32" s="1" t="s">
        <v>45</v>
      </c>
      <c r="B32" s="1">
        <v>1</v>
      </c>
      <c r="C32" s="1">
        <v>1.1259E-3</v>
      </c>
      <c r="D32" s="36">
        <v>4.07E-6</v>
      </c>
      <c r="E32" s="1">
        <v>1.8782E-3</v>
      </c>
      <c r="F32" s="1">
        <v>-8.897E-4</v>
      </c>
      <c r="G32" s="1">
        <v>1.0021180000000001</v>
      </c>
      <c r="H32" s="1">
        <v>5.1159999999999997E-4</v>
      </c>
      <c r="I32" s="1">
        <v>1.0005120000000001</v>
      </c>
      <c r="J32" s="1">
        <v>1.001606</v>
      </c>
    </row>
    <row r="33" spans="1:10" x14ac:dyDescent="0.3">
      <c r="A33" s="1" t="s">
        <v>46</v>
      </c>
      <c r="B33" s="1">
        <v>0.77409689999999998</v>
      </c>
      <c r="C33" s="1">
        <v>0.26917140000000001</v>
      </c>
      <c r="D33" s="1">
        <v>0</v>
      </c>
      <c r="E33" s="1">
        <v>0</v>
      </c>
      <c r="F33" s="1">
        <v>-5.4134700000000001E-2</v>
      </c>
      <c r="G33" s="1">
        <v>0.9891335</v>
      </c>
      <c r="H33" s="1">
        <v>1.1765400000000001E-2</v>
      </c>
      <c r="I33" s="1">
        <v>1.011765</v>
      </c>
      <c r="J33" s="1">
        <v>0.97763129999999998</v>
      </c>
    </row>
    <row r="34" spans="1:10" x14ac:dyDescent="0.3">
      <c r="A34" s="1" t="s">
        <v>47</v>
      </c>
      <c r="B34" s="1">
        <v>0.75000009999999995</v>
      </c>
      <c r="C34" s="1">
        <v>0.5441011</v>
      </c>
      <c r="D34" s="1">
        <v>0</v>
      </c>
      <c r="E34" s="1">
        <v>0</v>
      </c>
      <c r="F34" s="1">
        <v>-5.7457800000000003E-2</v>
      </c>
      <c r="G34" s="1">
        <v>1.2366429999999999</v>
      </c>
      <c r="H34" s="1">
        <v>2.1893699999999999E-2</v>
      </c>
      <c r="I34" s="1">
        <v>1.0218940000000001</v>
      </c>
      <c r="J34" s="1">
        <v>1.2101489999999999</v>
      </c>
    </row>
    <row r="35" spans="1:10" x14ac:dyDescent="0.3">
      <c r="A35" s="1" t="s">
        <v>48</v>
      </c>
      <c r="B35" s="1">
        <v>0.75</v>
      </c>
      <c r="C35" s="1">
        <v>0.3591664</v>
      </c>
      <c r="D35" s="1">
        <v>0</v>
      </c>
      <c r="E35" s="1">
        <v>0</v>
      </c>
      <c r="F35" s="1">
        <v>-0.1105859</v>
      </c>
      <c r="G35" s="1">
        <v>0.99858049999999998</v>
      </c>
      <c r="H35" s="1">
        <v>1.87697E-2</v>
      </c>
      <c r="I35" s="1">
        <v>1.01877</v>
      </c>
      <c r="J35" s="1">
        <v>0.98018269999999996</v>
      </c>
    </row>
    <row r="36" spans="1:10" x14ac:dyDescent="0.3">
      <c r="A36" s="1" t="s">
        <v>51</v>
      </c>
      <c r="B36" s="1">
        <v>0.87048460000000005</v>
      </c>
      <c r="C36" s="1">
        <v>5.0162100000000001E-2</v>
      </c>
      <c r="D36" s="1">
        <v>0</v>
      </c>
      <c r="E36" s="1">
        <v>0</v>
      </c>
      <c r="F36" s="1">
        <v>-1.0531E-3</v>
      </c>
      <c r="G36" s="1">
        <v>0.91959369999999996</v>
      </c>
      <c r="H36" s="1">
        <v>-2.387E-4</v>
      </c>
      <c r="I36" s="1">
        <v>0.99976129999999996</v>
      </c>
      <c r="J36" s="1">
        <v>0.9198132</v>
      </c>
    </row>
    <row r="37" spans="1:10" x14ac:dyDescent="0.3">
      <c r="A37" s="1" t="s">
        <v>49</v>
      </c>
      <c r="B37" s="1">
        <v>0.75000009999999995</v>
      </c>
      <c r="C37" s="1">
        <v>0.26548650000000001</v>
      </c>
      <c r="D37" s="1">
        <v>0</v>
      </c>
      <c r="E37" s="1">
        <v>0</v>
      </c>
      <c r="F37" s="1">
        <v>-8.8171799999999995E-2</v>
      </c>
      <c r="G37" s="1">
        <v>0.92731479999999999</v>
      </c>
      <c r="H37" s="1">
        <v>1.32946E-2</v>
      </c>
      <c r="I37" s="1">
        <v>1.0132950000000001</v>
      </c>
      <c r="J37" s="1">
        <v>0.91514830000000003</v>
      </c>
    </row>
    <row r="38" spans="1:10" x14ac:dyDescent="0.3">
      <c r="A38" s="1" t="s">
        <v>50</v>
      </c>
      <c r="B38" s="1">
        <v>0.74999990000000005</v>
      </c>
      <c r="C38" s="1">
        <v>0.12694069999999999</v>
      </c>
      <c r="D38" s="1">
        <v>0</v>
      </c>
      <c r="E38" s="1">
        <v>0</v>
      </c>
      <c r="F38" s="1">
        <v>-1.34051E-2</v>
      </c>
      <c r="G38" s="1">
        <v>0.86353559999999996</v>
      </c>
      <c r="H38" s="1">
        <v>5.1079000000000003E-3</v>
      </c>
      <c r="I38" s="1">
        <v>1.0051079999999999</v>
      </c>
      <c r="J38" s="1">
        <v>0.8591472</v>
      </c>
    </row>
    <row r="39" spans="1:10" x14ac:dyDescent="0.3">
      <c r="A39" s="1" t="s">
        <v>52</v>
      </c>
      <c r="B39" s="1">
        <v>0.88749</v>
      </c>
      <c r="C39" s="1">
        <v>1.694998</v>
      </c>
      <c r="D39" s="1">
        <v>0</v>
      </c>
      <c r="E39" s="1">
        <v>0</v>
      </c>
      <c r="F39" s="1">
        <v>-6.5373100000000003E-2</v>
      </c>
      <c r="G39" s="1">
        <v>2.517115</v>
      </c>
      <c r="H39" s="1">
        <v>1.01288E-2</v>
      </c>
      <c r="I39" s="1">
        <v>1.0101290000000001</v>
      </c>
      <c r="J39" s="1">
        <v>2.4918749999999998</v>
      </c>
    </row>
    <row r="40" spans="1:10" x14ac:dyDescent="0.3">
      <c r="A40" s="1" t="s">
        <v>53</v>
      </c>
      <c r="B40" s="1">
        <v>0.88212290000000004</v>
      </c>
      <c r="C40" s="1">
        <v>1.9194020000000001</v>
      </c>
      <c r="D40" s="1">
        <v>0</v>
      </c>
      <c r="E40" s="1">
        <v>0</v>
      </c>
      <c r="F40" s="1">
        <v>-0.13074620000000001</v>
      </c>
      <c r="G40" s="1">
        <v>2.670779</v>
      </c>
      <c r="H40" s="1">
        <v>3.8204599999999998E-2</v>
      </c>
      <c r="I40" s="1">
        <v>1.038205</v>
      </c>
      <c r="J40" s="1">
        <v>2.572498</v>
      </c>
    </row>
    <row r="41" spans="1:10" x14ac:dyDescent="0.3">
      <c r="A41" s="1" t="s">
        <v>54</v>
      </c>
      <c r="B41" s="1">
        <v>0.89285709999999996</v>
      </c>
      <c r="C41" s="1">
        <v>1.470593</v>
      </c>
      <c r="D41" s="1">
        <v>0</v>
      </c>
      <c r="E41" s="1">
        <v>0</v>
      </c>
      <c r="F41" s="1">
        <v>0</v>
      </c>
      <c r="G41" s="1">
        <v>2.3634499999999998</v>
      </c>
      <c r="H41" s="1">
        <v>-1.7947000000000001E-2</v>
      </c>
      <c r="I41" s="1">
        <v>0.98205299999999995</v>
      </c>
      <c r="J41" s="1">
        <v>2.4066420000000002</v>
      </c>
    </row>
    <row r="42" spans="1:10" x14ac:dyDescent="0.3">
      <c r="A42" s="1" t="s">
        <v>55</v>
      </c>
      <c r="B42" s="1">
        <v>0</v>
      </c>
      <c r="C42" s="1">
        <v>1.8760760000000001</v>
      </c>
      <c r="D42" s="1">
        <v>0</v>
      </c>
      <c r="E42" s="1">
        <v>0</v>
      </c>
      <c r="F42" s="1">
        <v>-3.0173800000000001E-2</v>
      </c>
      <c r="G42" s="1">
        <v>1.8459019999999999</v>
      </c>
      <c r="H42" s="1">
        <v>-5.1017E-2</v>
      </c>
      <c r="I42" s="1">
        <v>0.94898300000000002</v>
      </c>
      <c r="J42" s="1">
        <v>1.9451369999999999</v>
      </c>
    </row>
    <row r="43" spans="1:10" x14ac:dyDescent="0.3">
      <c r="A43" s="1" t="s">
        <v>56</v>
      </c>
      <c r="B43" s="1">
        <v>0</v>
      </c>
      <c r="C43" s="1">
        <v>3.4663870000000001</v>
      </c>
      <c r="D43" s="1">
        <v>0</v>
      </c>
      <c r="E43" s="1">
        <v>0</v>
      </c>
      <c r="F43" s="1">
        <v>-0.24427740000000001</v>
      </c>
      <c r="G43" s="1">
        <v>3.2221099999999998</v>
      </c>
      <c r="H43" s="1">
        <v>7.1891999999999998E-2</v>
      </c>
      <c r="I43" s="1">
        <v>1.0718920000000001</v>
      </c>
      <c r="J43" s="1">
        <v>3.0060020000000001</v>
      </c>
    </row>
    <row r="44" spans="1:10" x14ac:dyDescent="0.3">
      <c r="A44" s="1" t="s">
        <v>57</v>
      </c>
      <c r="B44" s="1">
        <v>0</v>
      </c>
      <c r="C44" s="1">
        <v>2.906034</v>
      </c>
      <c r="D44" s="1">
        <v>0</v>
      </c>
      <c r="E44" s="1">
        <v>0</v>
      </c>
      <c r="F44" s="1">
        <v>-0.2047891</v>
      </c>
      <c r="G44" s="1">
        <v>2.7012450000000001</v>
      </c>
      <c r="H44" s="1">
        <v>6.0270400000000002E-2</v>
      </c>
      <c r="I44" s="1">
        <v>1.06027</v>
      </c>
      <c r="J44" s="1">
        <v>2.5476939999999999</v>
      </c>
    </row>
    <row r="45" spans="1:10" x14ac:dyDescent="0.3">
      <c r="A45" s="1" t="s">
        <v>58</v>
      </c>
      <c r="B45" s="1">
        <v>0</v>
      </c>
      <c r="C45" s="1">
        <v>0.29357260000000002</v>
      </c>
      <c r="D45" s="1">
        <v>0</v>
      </c>
      <c r="E45" s="1">
        <v>0</v>
      </c>
      <c r="F45" s="1">
        <v>0.69504319999999997</v>
      </c>
      <c r="G45" s="1">
        <v>0.98861580000000004</v>
      </c>
      <c r="H45" s="1">
        <v>-0.38204300000000002</v>
      </c>
      <c r="I45" s="1">
        <v>0.61795699999999998</v>
      </c>
      <c r="J45" s="1">
        <v>1.5998129999999999</v>
      </c>
    </row>
    <row r="46" spans="1:10" x14ac:dyDescent="0.3">
      <c r="A46" s="1" t="s">
        <v>59</v>
      </c>
      <c r="B46" s="1">
        <v>0</v>
      </c>
      <c r="C46" s="1">
        <v>0.83831100000000003</v>
      </c>
      <c r="D46" s="1">
        <v>0</v>
      </c>
      <c r="E46" s="1">
        <v>0</v>
      </c>
      <c r="F46" s="1">
        <v>-0.3666719</v>
      </c>
      <c r="G46" s="1">
        <v>0.47163909999999998</v>
      </c>
      <c r="H46" s="1">
        <v>4.5812699999999998E-2</v>
      </c>
      <c r="I46" s="1">
        <v>1.0458130000000001</v>
      </c>
      <c r="J46" s="1">
        <v>0.4509785</v>
      </c>
    </row>
    <row r="47" spans="1:10" x14ac:dyDescent="0.3">
      <c r="A47" s="1" t="s">
        <v>60</v>
      </c>
      <c r="B47" s="1">
        <v>0.50691339999999996</v>
      </c>
      <c r="C47" s="1">
        <v>4.3505180000000001</v>
      </c>
      <c r="D47" s="1">
        <v>0</v>
      </c>
      <c r="E47" s="1">
        <v>0</v>
      </c>
      <c r="F47" s="1">
        <v>-0.65891980000000006</v>
      </c>
      <c r="G47" s="1">
        <v>4.1985109999999999</v>
      </c>
      <c r="H47" s="1">
        <v>2.1667380000000001</v>
      </c>
      <c r="I47" s="1">
        <v>3.1667380000000001</v>
      </c>
      <c r="J47" s="1">
        <v>1.3258160000000001</v>
      </c>
    </row>
    <row r="48" spans="1:10" x14ac:dyDescent="0.3">
      <c r="A48" s="1" t="s">
        <v>62</v>
      </c>
      <c r="B48" s="1">
        <v>0</v>
      </c>
      <c r="C48" s="1">
        <v>8.049906</v>
      </c>
      <c r="D48" s="1">
        <v>0</v>
      </c>
      <c r="E48" s="1">
        <v>0</v>
      </c>
      <c r="F48" s="1">
        <v>-0.54240739999999998</v>
      </c>
      <c r="G48" s="1">
        <v>7.507498</v>
      </c>
      <c r="H48" s="1">
        <v>2.546548</v>
      </c>
      <c r="I48" s="1">
        <v>3.546548</v>
      </c>
      <c r="J48" s="1">
        <v>2.1168469999999999</v>
      </c>
    </row>
    <row r="49" spans="1:10" x14ac:dyDescent="0.3">
      <c r="A49" s="1" t="s">
        <v>61</v>
      </c>
      <c r="B49" s="1">
        <v>1.1445080000000001</v>
      </c>
      <c r="C49" s="1">
        <v>13.524039999999999</v>
      </c>
      <c r="D49" s="1">
        <v>0</v>
      </c>
      <c r="E49" s="1">
        <v>0</v>
      </c>
      <c r="F49" s="1">
        <v>-1.8443529999999999</v>
      </c>
      <c r="G49" s="1">
        <v>12.824199999999999</v>
      </c>
      <c r="H49" s="1">
        <v>6.0909370000000003</v>
      </c>
      <c r="I49" s="1">
        <v>7.0909370000000003</v>
      </c>
      <c r="J49" s="1">
        <v>1.8085340000000001</v>
      </c>
    </row>
    <row r="50" spans="1:10" x14ac:dyDescent="0.3">
      <c r="A50" s="1" t="s">
        <v>63</v>
      </c>
      <c r="B50" s="1">
        <v>0.41578949999999998</v>
      </c>
      <c r="C50" s="1">
        <v>1.4386540000000001</v>
      </c>
      <c r="D50" s="1">
        <v>0</v>
      </c>
      <c r="E50" s="1">
        <v>0</v>
      </c>
      <c r="F50" s="1">
        <v>-0.62925830000000005</v>
      </c>
      <c r="G50" s="1">
        <v>1.2251860000000001</v>
      </c>
      <c r="H50" s="1">
        <v>7.4874599999999999E-2</v>
      </c>
      <c r="I50" s="1">
        <v>1.074875</v>
      </c>
      <c r="J50" s="1">
        <v>1.13984</v>
      </c>
    </row>
    <row r="51" spans="1:10" x14ac:dyDescent="0.3">
      <c r="A51" s="1" t="s">
        <v>64</v>
      </c>
      <c r="B51" s="1">
        <v>0.73860440000000005</v>
      </c>
      <c r="C51" s="1">
        <v>0.4515422</v>
      </c>
      <c r="D51" s="1">
        <v>0</v>
      </c>
      <c r="E51" s="1">
        <v>0</v>
      </c>
      <c r="F51" s="1">
        <v>-0.1046995</v>
      </c>
      <c r="G51" s="1">
        <v>1.0854470000000001</v>
      </c>
      <c r="H51" s="1">
        <v>1.49803E-2</v>
      </c>
      <c r="I51" s="1">
        <v>1.01498</v>
      </c>
      <c r="J51" s="1">
        <v>1.0694269999999999</v>
      </c>
    </row>
    <row r="52" spans="1:10" x14ac:dyDescent="0.3">
      <c r="A52" s="1" t="s">
        <v>65</v>
      </c>
      <c r="B52" s="1">
        <v>0.74257859999999998</v>
      </c>
      <c r="C52" s="1">
        <v>0.43616149999999998</v>
      </c>
      <c r="D52" s="1">
        <v>0</v>
      </c>
      <c r="E52" s="1">
        <v>0</v>
      </c>
      <c r="F52" s="1">
        <v>-0.1012194</v>
      </c>
      <c r="G52" s="1">
        <v>1.077521</v>
      </c>
      <c r="H52" s="1">
        <v>1.4169299999999999E-2</v>
      </c>
      <c r="I52" s="1">
        <v>1.0141690000000001</v>
      </c>
      <c r="J52" s="1">
        <v>1.0624659999999999</v>
      </c>
    </row>
    <row r="53" spans="1:10" x14ac:dyDescent="0.3">
      <c r="A53" s="1" t="s">
        <v>66</v>
      </c>
      <c r="B53" s="1">
        <v>0</v>
      </c>
      <c r="C53" s="1">
        <v>2.202801</v>
      </c>
      <c r="D53" s="1">
        <v>0</v>
      </c>
      <c r="E53" s="1">
        <v>0</v>
      </c>
      <c r="F53" s="1">
        <v>-0.73158060000000003</v>
      </c>
      <c r="G53" s="1">
        <v>1.47122</v>
      </c>
      <c r="H53" s="1">
        <v>4.2589189999999997</v>
      </c>
      <c r="I53" s="1">
        <v>5.2589189999999997</v>
      </c>
      <c r="J53" s="1">
        <v>0.27975709999999998</v>
      </c>
    </row>
    <row r="54" spans="1:10" x14ac:dyDescent="0.3">
      <c r="A54" s="1" t="s">
        <v>67</v>
      </c>
      <c r="B54" s="1">
        <v>1</v>
      </c>
      <c r="C54" s="1">
        <v>-0.4325176</v>
      </c>
      <c r="D54" s="1">
        <v>-2.4489999999999999E-4</v>
      </c>
      <c r="E54" s="1">
        <v>-1.9331000000000001E-3</v>
      </c>
      <c r="F54" s="1">
        <v>5.9814300000000001E-2</v>
      </c>
      <c r="G54" s="1">
        <v>0.62511859999999997</v>
      </c>
      <c r="H54" s="1">
        <v>-6.9056300000000001E-2</v>
      </c>
      <c r="I54" s="1">
        <v>0.93094370000000004</v>
      </c>
      <c r="J54" s="1">
        <v>0.67148920000000001</v>
      </c>
    </row>
    <row r="55" spans="1:10" x14ac:dyDescent="0.3">
      <c r="A55" s="1" t="s">
        <v>68</v>
      </c>
      <c r="B55" s="1">
        <v>1</v>
      </c>
      <c r="C55" s="1">
        <v>-0.70757150000000002</v>
      </c>
      <c r="D55" s="1">
        <v>-2.4489999999999999E-4</v>
      </c>
      <c r="E55" s="1">
        <v>-1.9331000000000001E-3</v>
      </c>
      <c r="F55" s="1">
        <v>9.7820500000000005E-2</v>
      </c>
      <c r="G55" s="1">
        <v>0.3880709</v>
      </c>
      <c r="H55" s="1">
        <v>-0.11282449999999999</v>
      </c>
      <c r="I55" s="1">
        <v>0.88717550000000001</v>
      </c>
      <c r="J55" s="1">
        <v>0.43742300000000001</v>
      </c>
    </row>
    <row r="56" spans="1:10" x14ac:dyDescent="0.3">
      <c r="A56" s="1" t="s">
        <v>69</v>
      </c>
      <c r="B56" s="1">
        <v>1</v>
      </c>
      <c r="C56" s="1">
        <v>-0.61056160000000004</v>
      </c>
      <c r="D56" s="1">
        <v>-2.4489999999999999E-4</v>
      </c>
      <c r="E56" s="1">
        <v>-1.9331000000000001E-3</v>
      </c>
      <c r="F56" s="1">
        <v>8.4415900000000002E-2</v>
      </c>
      <c r="G56" s="1">
        <v>0.47167629999999999</v>
      </c>
      <c r="H56" s="1">
        <v>-9.7387699999999994E-2</v>
      </c>
      <c r="I56" s="1">
        <v>0.90261230000000003</v>
      </c>
      <c r="J56" s="1">
        <v>0.52256800000000003</v>
      </c>
    </row>
    <row r="57" spans="1:10" x14ac:dyDescent="0.3">
      <c r="A57" s="1" t="s">
        <v>70</v>
      </c>
      <c r="B57" s="1">
        <v>1</v>
      </c>
      <c r="C57" s="1">
        <v>-0.56590620000000003</v>
      </c>
      <c r="D57" s="1">
        <v>-2.4489999999999999E-4</v>
      </c>
      <c r="E57" s="1">
        <v>-1.9331000000000001E-3</v>
      </c>
      <c r="F57" s="1">
        <v>7.8245599999999998E-2</v>
      </c>
      <c r="G57" s="1">
        <v>0.51016130000000004</v>
      </c>
      <c r="H57" s="1">
        <v>-9.0281899999999998E-2</v>
      </c>
      <c r="I57" s="1">
        <v>0.90971809999999997</v>
      </c>
      <c r="J57" s="1">
        <v>0.56079049999999997</v>
      </c>
    </row>
    <row r="58" spans="1:10" x14ac:dyDescent="0.3">
      <c r="A58" s="1" t="s">
        <v>71</v>
      </c>
      <c r="B58" s="1">
        <v>1</v>
      </c>
      <c r="C58" s="1">
        <v>-0.54588829999999999</v>
      </c>
      <c r="D58" s="1">
        <v>-2.4489999999999999E-4</v>
      </c>
      <c r="E58" s="1">
        <v>-1.9331000000000001E-3</v>
      </c>
      <c r="F58" s="1">
        <v>7.5479500000000005E-2</v>
      </c>
      <c r="G58" s="1">
        <v>0.52741320000000003</v>
      </c>
      <c r="H58" s="1">
        <v>-8.7096499999999993E-2</v>
      </c>
      <c r="I58" s="1">
        <v>0.91290349999999998</v>
      </c>
      <c r="J58" s="1">
        <v>0.57773160000000001</v>
      </c>
    </row>
    <row r="59" spans="1:10" x14ac:dyDescent="0.3">
      <c r="A59" s="1" t="s">
        <v>72</v>
      </c>
      <c r="B59" s="1">
        <v>1</v>
      </c>
      <c r="C59" s="1">
        <v>-0.51355170000000006</v>
      </c>
      <c r="D59" s="1">
        <v>-2.4489999999999999E-4</v>
      </c>
      <c r="E59" s="1">
        <v>-1.9331000000000001E-3</v>
      </c>
      <c r="F59" s="1">
        <v>7.1011299999999999E-2</v>
      </c>
      <c r="G59" s="1">
        <v>0.55528160000000004</v>
      </c>
      <c r="H59" s="1">
        <v>-8.1950899999999993E-2</v>
      </c>
      <c r="I59" s="1">
        <v>0.91804909999999995</v>
      </c>
      <c r="J59" s="1">
        <v>0.60484959999999999</v>
      </c>
    </row>
    <row r="60" spans="1:10" x14ac:dyDescent="0.3">
      <c r="A60" s="1" t="s">
        <v>73</v>
      </c>
      <c r="B60" s="1">
        <v>1</v>
      </c>
      <c r="C60" s="1">
        <v>-0.49661339999999998</v>
      </c>
      <c r="D60" s="1">
        <v>-2.4489999999999999E-4</v>
      </c>
      <c r="E60" s="1">
        <v>-1.9331000000000001E-3</v>
      </c>
      <c r="F60" s="1">
        <v>6.8670900000000007E-2</v>
      </c>
      <c r="G60" s="1">
        <v>0.56987940000000004</v>
      </c>
      <c r="H60" s="1">
        <v>-7.9255599999999995E-2</v>
      </c>
      <c r="I60" s="1">
        <v>0.92074440000000002</v>
      </c>
      <c r="J60" s="1">
        <v>0.61893330000000002</v>
      </c>
    </row>
    <row r="61" spans="1:10" x14ac:dyDescent="0.3">
      <c r="A61" s="1" t="s">
        <v>74</v>
      </c>
      <c r="B61" s="1">
        <v>1</v>
      </c>
      <c r="C61" s="1">
        <v>-0.45349790000000001</v>
      </c>
      <c r="D61" s="1">
        <v>-2.4489999999999999E-4</v>
      </c>
      <c r="E61" s="1">
        <v>-1.9331000000000001E-3</v>
      </c>
      <c r="F61" s="1">
        <v>6.27133E-2</v>
      </c>
      <c r="G61" s="1">
        <v>0.6070373</v>
      </c>
      <c r="H61" s="1">
        <v>-7.2394799999999995E-2</v>
      </c>
      <c r="I61" s="1">
        <v>0.92760520000000002</v>
      </c>
      <c r="J61" s="1">
        <v>0.65441349999999998</v>
      </c>
    </row>
    <row r="62" spans="1:10" x14ac:dyDescent="0.3">
      <c r="A62" s="1" t="s">
        <v>75</v>
      </c>
      <c r="B62" s="1">
        <v>1</v>
      </c>
      <c r="C62" s="1">
        <v>-0.43040030000000001</v>
      </c>
      <c r="D62" s="1">
        <v>-2.4489999999999999E-4</v>
      </c>
      <c r="E62" s="1">
        <v>-1.9331000000000001E-3</v>
      </c>
      <c r="F62" s="1">
        <v>5.9521699999999997E-2</v>
      </c>
      <c r="G62" s="1">
        <v>0.62694329999999998</v>
      </c>
      <c r="H62" s="1">
        <v>-6.87194E-2</v>
      </c>
      <c r="I62" s="1">
        <v>0.93128060000000001</v>
      </c>
      <c r="J62" s="1">
        <v>0.67320559999999996</v>
      </c>
    </row>
    <row r="63" spans="1:10" x14ac:dyDescent="0.3">
      <c r="A63" s="1" t="s">
        <v>77</v>
      </c>
      <c r="B63" s="1">
        <v>1</v>
      </c>
      <c r="C63" s="1">
        <v>-0.3041334</v>
      </c>
      <c r="D63" s="1">
        <v>-2.4489999999999999E-4</v>
      </c>
      <c r="E63" s="1">
        <v>-1.9331000000000001E-3</v>
      </c>
      <c r="F63" s="1">
        <v>4.2074500000000001E-2</v>
      </c>
      <c r="G63" s="1">
        <v>0.73576299999999994</v>
      </c>
      <c r="H63" s="1">
        <v>-4.8627099999999999E-2</v>
      </c>
      <c r="I63" s="1">
        <v>0.95137289999999997</v>
      </c>
      <c r="J63" s="1">
        <v>0.77336970000000005</v>
      </c>
    </row>
    <row r="64" spans="1:10" x14ac:dyDescent="0.3">
      <c r="A64" s="1" t="s">
        <v>78</v>
      </c>
      <c r="B64" s="1">
        <v>1</v>
      </c>
      <c r="C64" s="1">
        <v>-0.25177890000000003</v>
      </c>
      <c r="D64" s="1">
        <v>-2.4489999999999999E-4</v>
      </c>
      <c r="E64" s="1">
        <v>-1.9331000000000001E-3</v>
      </c>
      <c r="F64" s="1">
        <v>3.4840299999999998E-2</v>
      </c>
      <c r="G64" s="1">
        <v>0.78088329999999995</v>
      </c>
      <c r="H64" s="1">
        <v>-4.0296199999999997E-2</v>
      </c>
      <c r="I64" s="1">
        <v>0.9597038</v>
      </c>
      <c r="J64" s="1">
        <v>0.81367109999999998</v>
      </c>
    </row>
    <row r="65" spans="1:10" x14ac:dyDescent="0.3">
      <c r="A65" s="1" t="s">
        <v>76</v>
      </c>
      <c r="B65" s="1">
        <v>1</v>
      </c>
      <c r="C65" s="1">
        <v>-0.24638940000000001</v>
      </c>
      <c r="D65" s="1">
        <v>-2.4489999999999999E-4</v>
      </c>
      <c r="E65" s="1">
        <v>-1.9331000000000001E-3</v>
      </c>
      <c r="F65" s="1">
        <v>3.4095599999999997E-2</v>
      </c>
      <c r="G65" s="1">
        <v>0.78552809999999995</v>
      </c>
      <c r="H65" s="1">
        <v>-3.9438599999999997E-2</v>
      </c>
      <c r="I65" s="1">
        <v>0.96056140000000001</v>
      </c>
      <c r="J65" s="1">
        <v>0.81778010000000001</v>
      </c>
    </row>
    <row r="66" spans="1:10" x14ac:dyDescent="0.3">
      <c r="A66" s="1" t="s">
        <v>79</v>
      </c>
      <c r="B66" s="1">
        <v>1</v>
      </c>
      <c r="C66" s="1">
        <v>-6.39184E-2</v>
      </c>
      <c r="D66" s="1">
        <v>-2.4489999999999999E-4</v>
      </c>
      <c r="E66" s="1">
        <v>-1.9331000000000001E-3</v>
      </c>
      <c r="F66" s="1">
        <v>8.8821999999999998E-3</v>
      </c>
      <c r="G66" s="1">
        <v>0.94278569999999995</v>
      </c>
      <c r="H66" s="1">
        <v>-1.0402700000000001E-2</v>
      </c>
      <c r="I66" s="1">
        <v>0.98959730000000001</v>
      </c>
      <c r="J66" s="1">
        <v>0.9526964</v>
      </c>
    </row>
    <row r="67" spans="1:10" x14ac:dyDescent="0.3">
      <c r="A67" s="1" t="s">
        <v>80</v>
      </c>
      <c r="B67" s="1">
        <v>1</v>
      </c>
      <c r="C67" s="1">
        <v>-0.25068570000000001</v>
      </c>
      <c r="D67" s="1">
        <v>0</v>
      </c>
      <c r="E67" s="1">
        <v>0</v>
      </c>
      <c r="F67" s="1">
        <v>2.5273299999999999E-2</v>
      </c>
      <c r="G67" s="1">
        <v>0.77458760000000004</v>
      </c>
      <c r="H67" s="1">
        <v>-2.9754300000000001E-2</v>
      </c>
      <c r="I67" s="1">
        <v>0.97024569999999999</v>
      </c>
      <c r="J67" s="1">
        <v>0.79834159999999998</v>
      </c>
    </row>
    <row r="68" spans="1:10" x14ac:dyDescent="0.3">
      <c r="A68" s="1" t="s">
        <v>81</v>
      </c>
      <c r="B68" s="1">
        <v>1</v>
      </c>
      <c r="C68" s="1">
        <v>-0.31315140000000002</v>
      </c>
      <c r="D68" s="1">
        <v>0</v>
      </c>
      <c r="E68" s="1">
        <v>0</v>
      </c>
      <c r="F68" s="1">
        <v>3.5554000000000002E-2</v>
      </c>
      <c r="G68" s="1">
        <v>0.72240260000000001</v>
      </c>
      <c r="H68" s="1">
        <v>-4.1854500000000003E-2</v>
      </c>
      <c r="I68" s="1">
        <v>0.95814549999999998</v>
      </c>
      <c r="J68" s="1">
        <v>0.75395920000000005</v>
      </c>
    </row>
    <row r="69" spans="1:10" x14ac:dyDescent="0.3">
      <c r="A69" s="1" t="s">
        <v>82</v>
      </c>
      <c r="B69" s="1">
        <v>1</v>
      </c>
      <c r="C69" s="1">
        <v>-0.1882201</v>
      </c>
      <c r="D69" s="1">
        <v>0</v>
      </c>
      <c r="E69" s="1">
        <v>0</v>
      </c>
      <c r="F69" s="1">
        <v>1.49926E-2</v>
      </c>
      <c r="G69" s="1">
        <v>0.82677259999999997</v>
      </c>
      <c r="H69" s="1">
        <v>-1.7654E-2</v>
      </c>
      <c r="I69" s="1">
        <v>0.98234600000000005</v>
      </c>
      <c r="J69" s="1">
        <v>0.84163069999999995</v>
      </c>
    </row>
    <row r="70" spans="1:10" x14ac:dyDescent="0.3">
      <c r="A70" s="1" t="s">
        <v>83</v>
      </c>
      <c r="B70" s="1">
        <v>0.9785933</v>
      </c>
      <c r="C70" s="1">
        <v>-0.15148329999999999</v>
      </c>
      <c r="D70" s="1">
        <v>0</v>
      </c>
      <c r="E70" s="1">
        <v>0</v>
      </c>
      <c r="F70" s="1">
        <v>-0.10828400000000001</v>
      </c>
      <c r="G70" s="1">
        <v>0.71882599999999996</v>
      </c>
      <c r="H70" s="1">
        <v>0.111731</v>
      </c>
      <c r="I70" s="1">
        <v>1.111731</v>
      </c>
      <c r="J70" s="1">
        <v>0.64658260000000001</v>
      </c>
    </row>
    <row r="71" spans="1:10" x14ac:dyDescent="0.3">
      <c r="A71" s="1" t="s">
        <v>84</v>
      </c>
      <c r="B71" s="1">
        <v>1</v>
      </c>
      <c r="C71" s="1">
        <v>-0.1364863</v>
      </c>
      <c r="D71" s="1">
        <v>0</v>
      </c>
      <c r="E71" s="1">
        <v>0</v>
      </c>
      <c r="F71" s="1">
        <v>-0.32313019999999998</v>
      </c>
      <c r="G71" s="1">
        <v>0.54038350000000002</v>
      </c>
      <c r="H71" s="1">
        <v>0.17761440000000001</v>
      </c>
      <c r="I71" s="1">
        <v>1.1776139999999999</v>
      </c>
      <c r="J71" s="1">
        <v>0.4588798</v>
      </c>
    </row>
    <row r="72" spans="1:10" x14ac:dyDescent="0.3">
      <c r="A72" s="1" t="s">
        <v>85</v>
      </c>
      <c r="B72" s="1">
        <v>0.9357799</v>
      </c>
      <c r="C72" s="1">
        <v>-0.26776650000000002</v>
      </c>
      <c r="D72" s="1">
        <v>0</v>
      </c>
      <c r="E72" s="1">
        <v>0</v>
      </c>
      <c r="F72" s="1">
        <v>0.1171194</v>
      </c>
      <c r="G72" s="1">
        <v>0.78513270000000002</v>
      </c>
      <c r="H72" s="1">
        <v>9.2255500000000004E-2</v>
      </c>
      <c r="I72" s="1">
        <v>1.0922559999999999</v>
      </c>
      <c r="J72" s="1">
        <v>0.71881779999999995</v>
      </c>
    </row>
    <row r="73" spans="1:10" x14ac:dyDescent="0.3">
      <c r="A73" s="1" t="s">
        <v>86</v>
      </c>
      <c r="B73" s="1">
        <v>1</v>
      </c>
      <c r="C73" s="1">
        <v>-5.0197100000000001E-2</v>
      </c>
      <c r="D73" s="1">
        <v>0</v>
      </c>
      <c r="E73" s="1">
        <v>0</v>
      </c>
      <c r="F73" s="1">
        <v>-0.11884119999999999</v>
      </c>
      <c r="G73" s="1">
        <v>0.83096170000000003</v>
      </c>
      <c r="H73" s="1">
        <v>6.5323199999999998E-2</v>
      </c>
      <c r="I73" s="1">
        <v>1.065323</v>
      </c>
      <c r="J73" s="1">
        <v>0.78000899999999995</v>
      </c>
    </row>
    <row r="74" spans="1:10" x14ac:dyDescent="0.3">
      <c r="A74" s="1" t="s">
        <v>87</v>
      </c>
      <c r="B74" s="1">
        <v>1</v>
      </c>
      <c r="C74" s="1">
        <v>-0.85432889999999995</v>
      </c>
      <c r="D74" s="1">
        <v>0</v>
      </c>
      <c r="E74" s="1">
        <v>0</v>
      </c>
      <c r="F74" s="1">
        <v>0</v>
      </c>
      <c r="G74" s="1">
        <v>0.1456711</v>
      </c>
      <c r="H74" s="1">
        <v>-2.0820100000000001E-2</v>
      </c>
      <c r="I74" s="1">
        <v>0.97917989999999999</v>
      </c>
      <c r="J74" s="1">
        <v>0.1487685</v>
      </c>
    </row>
    <row r="75" spans="1:10" x14ac:dyDescent="0.3">
      <c r="A75" s="1" t="s">
        <v>88</v>
      </c>
      <c r="B75" s="1">
        <v>1</v>
      </c>
      <c r="C75" s="1">
        <v>-1.6460220000000001</v>
      </c>
      <c r="D75" s="1">
        <v>0</v>
      </c>
      <c r="E75" s="1">
        <v>0</v>
      </c>
      <c r="F75" s="1">
        <v>0</v>
      </c>
      <c r="G75" s="1">
        <v>-0.64602199999999999</v>
      </c>
      <c r="H75" s="1">
        <v>-3.7312699999999997E-2</v>
      </c>
      <c r="I75" s="1">
        <v>0.96268730000000002</v>
      </c>
      <c r="J75" s="1">
        <v>-0.67106120000000002</v>
      </c>
    </row>
    <row r="76" spans="1:10" x14ac:dyDescent="0.3">
      <c r="A76" s="1" t="s">
        <v>89</v>
      </c>
      <c r="B76" s="1">
        <v>1</v>
      </c>
      <c r="C76" s="1">
        <v>-6.2635800000000005E-2</v>
      </c>
      <c r="D76" s="1">
        <v>0</v>
      </c>
      <c r="E76" s="1">
        <v>0</v>
      </c>
      <c r="F76" s="1">
        <v>0</v>
      </c>
      <c r="G76" s="1">
        <v>0.93736419999999998</v>
      </c>
      <c r="H76" s="1">
        <v>-4.3274999999999997E-3</v>
      </c>
      <c r="I76" s="1">
        <v>0.99567249999999996</v>
      </c>
      <c r="J76" s="1">
        <v>0.94143829999999995</v>
      </c>
    </row>
    <row r="77" spans="1:10" x14ac:dyDescent="0.3">
      <c r="A77" s="1" t="s">
        <v>90</v>
      </c>
      <c r="B77" s="1">
        <v>4.100581</v>
      </c>
      <c r="C77" s="1">
        <v>20.102589999999999</v>
      </c>
      <c r="D77" s="1">
        <v>0</v>
      </c>
      <c r="E77" s="1">
        <v>0</v>
      </c>
      <c r="F77" s="1">
        <v>0</v>
      </c>
      <c r="G77" s="1">
        <v>24.20317</v>
      </c>
      <c r="H77" s="1">
        <v>-0.39258510000000002</v>
      </c>
      <c r="I77" s="1">
        <v>0.60741489999999998</v>
      </c>
      <c r="J77" s="1">
        <v>39.846200000000003</v>
      </c>
    </row>
    <row r="78" spans="1:10" x14ac:dyDescent="0.3">
      <c r="A78" s="1" t="s">
        <v>91</v>
      </c>
      <c r="B78" s="1">
        <v>7.6558739999999998</v>
      </c>
      <c r="C78" s="1">
        <v>43.160910000000001</v>
      </c>
      <c r="D78" s="1">
        <v>0</v>
      </c>
      <c r="E78" s="1">
        <v>0</v>
      </c>
      <c r="F78" s="1">
        <v>0</v>
      </c>
      <c r="G78" s="1">
        <v>50.816780000000001</v>
      </c>
      <c r="H78" s="1">
        <v>-0.8428928</v>
      </c>
      <c r="I78" s="1">
        <v>0.1571072</v>
      </c>
      <c r="J78" s="1">
        <v>323.4529</v>
      </c>
    </row>
    <row r="79" spans="1:10" x14ac:dyDescent="0.3">
      <c r="A79" s="1" t="s">
        <v>92</v>
      </c>
      <c r="B79" s="1">
        <v>0.54528799999999999</v>
      </c>
      <c r="C79" s="1">
        <v>-2.9557250000000002</v>
      </c>
      <c r="D79" s="1">
        <v>0</v>
      </c>
      <c r="E79" s="1">
        <v>0</v>
      </c>
      <c r="F79" s="1">
        <v>0</v>
      </c>
      <c r="G79" s="1">
        <v>-2.4104369999999999</v>
      </c>
      <c r="H79" s="1">
        <v>5.7722599999999999E-2</v>
      </c>
      <c r="I79" s="1">
        <v>1.057723</v>
      </c>
      <c r="J79" s="1">
        <v>-2.2788930000000001</v>
      </c>
    </row>
    <row r="80" spans="1:10" x14ac:dyDescent="0.3">
      <c r="A80" s="1" t="s">
        <v>93</v>
      </c>
      <c r="B80" s="1">
        <v>0.46187899999999998</v>
      </c>
      <c r="C80" s="1">
        <v>14.44322</v>
      </c>
      <c r="D80" s="1">
        <v>0</v>
      </c>
      <c r="E80" s="1">
        <v>0</v>
      </c>
      <c r="F80" s="1">
        <v>0</v>
      </c>
      <c r="G80" s="1">
        <v>14.905099999999999</v>
      </c>
      <c r="H80" s="1">
        <v>-0.2820627</v>
      </c>
      <c r="I80" s="1">
        <v>0.71793720000000005</v>
      </c>
      <c r="J80" s="1">
        <v>20.760999999999999</v>
      </c>
    </row>
    <row r="81" spans="1:10" x14ac:dyDescent="0.3">
      <c r="A81" s="1" t="s">
        <v>94</v>
      </c>
      <c r="B81" s="1">
        <v>0</v>
      </c>
      <c r="C81" s="1">
        <v>35.840240000000001</v>
      </c>
      <c r="D81" s="1">
        <v>0</v>
      </c>
      <c r="E81" s="1">
        <v>0</v>
      </c>
      <c r="F81" s="1">
        <v>0</v>
      </c>
      <c r="G81" s="1">
        <v>35.840240000000001</v>
      </c>
      <c r="H81" s="1">
        <v>-0.69992690000000002</v>
      </c>
      <c r="I81" s="1">
        <v>0.30007309999999998</v>
      </c>
      <c r="J81" s="1">
        <v>119.4383</v>
      </c>
    </row>
    <row r="82" spans="1:10" x14ac:dyDescent="0.3">
      <c r="A82" s="1" t="s">
        <v>95</v>
      </c>
      <c r="B82" s="1">
        <v>0.42063699999999998</v>
      </c>
      <c r="C82" s="1">
        <v>4.5379940000000003</v>
      </c>
      <c r="D82" s="1">
        <v>0</v>
      </c>
      <c r="E82" s="1">
        <v>0</v>
      </c>
      <c r="F82" s="1">
        <v>0</v>
      </c>
      <c r="G82" s="1">
        <v>4.9586309999999996</v>
      </c>
      <c r="H82" s="1">
        <v>-8.8622800000000002E-2</v>
      </c>
      <c r="I82" s="1">
        <v>0.91137710000000005</v>
      </c>
      <c r="J82" s="1">
        <v>5.4408110000000001</v>
      </c>
    </row>
    <row r="83" spans="1:10" x14ac:dyDescent="0.3">
      <c r="A83" s="1" t="s">
        <v>96</v>
      </c>
      <c r="B83" s="1">
        <v>0.96499999999999997</v>
      </c>
      <c r="C83" s="1">
        <v>2.9514209999999999</v>
      </c>
      <c r="D83" s="1">
        <v>0</v>
      </c>
      <c r="E83" s="1">
        <v>0</v>
      </c>
      <c r="F83" s="1">
        <v>0</v>
      </c>
      <c r="G83" s="1">
        <v>3.9164210000000002</v>
      </c>
      <c r="H83" s="1">
        <v>-5.7638500000000002E-2</v>
      </c>
      <c r="I83" s="1">
        <v>0.94236149999999996</v>
      </c>
      <c r="J83" s="1">
        <v>4.1559650000000001</v>
      </c>
    </row>
    <row r="84" spans="1:10" x14ac:dyDescent="0.3">
      <c r="A84" s="1" t="s">
        <v>97</v>
      </c>
      <c r="B84" s="1">
        <v>0.94373359999999995</v>
      </c>
      <c r="C84" s="1">
        <v>9.3849079999999994</v>
      </c>
      <c r="D84" s="1">
        <v>0</v>
      </c>
      <c r="E84" s="1">
        <v>0</v>
      </c>
      <c r="F84" s="1">
        <v>0</v>
      </c>
      <c r="G84" s="1">
        <v>10.32864</v>
      </c>
      <c r="H84" s="1">
        <v>-0.18327860000000001</v>
      </c>
      <c r="I84" s="1">
        <v>0.81672140000000004</v>
      </c>
      <c r="J84" s="1">
        <v>12.646470000000001</v>
      </c>
    </row>
    <row r="85" spans="1:10" x14ac:dyDescent="0.3">
      <c r="A85" s="1" t="s">
        <v>98</v>
      </c>
      <c r="B85" s="1">
        <v>0.97221299999999999</v>
      </c>
      <c r="C85" s="1">
        <v>10.642139999999999</v>
      </c>
      <c r="D85" s="1">
        <v>0</v>
      </c>
      <c r="E85" s="1">
        <v>0</v>
      </c>
      <c r="F85" s="1">
        <v>0</v>
      </c>
      <c r="G85" s="1">
        <v>11.61436</v>
      </c>
      <c r="H85" s="1">
        <v>-0.2078313</v>
      </c>
      <c r="I85" s="1">
        <v>0.79216869999999995</v>
      </c>
      <c r="J85" s="1">
        <v>14.66147</v>
      </c>
    </row>
    <row r="86" spans="1:10" x14ac:dyDescent="0.3">
      <c r="A86" s="1" t="s">
        <v>99</v>
      </c>
      <c r="B86" s="1">
        <v>0.91525429999999997</v>
      </c>
      <c r="C86" s="1">
        <v>8.1276709999999994</v>
      </c>
      <c r="D86" s="1">
        <v>0</v>
      </c>
      <c r="E86" s="1">
        <v>0</v>
      </c>
      <c r="F86" s="1">
        <v>0</v>
      </c>
      <c r="G86" s="1">
        <v>9.0429250000000003</v>
      </c>
      <c r="H86" s="1">
        <v>-0.1587259</v>
      </c>
      <c r="I86" s="1">
        <v>0.84127410000000002</v>
      </c>
      <c r="J86" s="1">
        <v>10.749079999999999</v>
      </c>
    </row>
    <row r="87" spans="1:10" x14ac:dyDescent="0.3">
      <c r="A87" s="1" t="s">
        <v>100</v>
      </c>
      <c r="B87" s="1">
        <v>1</v>
      </c>
      <c r="C87" s="1">
        <v>7.4946700000000002</v>
      </c>
      <c r="D87" s="1">
        <v>0</v>
      </c>
      <c r="E87" s="1">
        <v>0</v>
      </c>
      <c r="F87" s="1">
        <v>0</v>
      </c>
      <c r="G87" s="1">
        <v>8.4946699999999993</v>
      </c>
      <c r="H87" s="1">
        <v>0.1116974</v>
      </c>
      <c r="I87" s="1">
        <v>1.1116969999999999</v>
      </c>
      <c r="J87" s="1">
        <v>7.6411709999999999</v>
      </c>
    </row>
    <row r="88" spans="1:10" x14ac:dyDescent="0.3">
      <c r="A88" s="1" t="s">
        <v>101</v>
      </c>
      <c r="B88" s="1">
        <v>1</v>
      </c>
      <c r="C88" s="1">
        <v>7.4946700000000002</v>
      </c>
      <c r="D88" s="1">
        <v>0</v>
      </c>
      <c r="E88" s="1">
        <v>0</v>
      </c>
      <c r="F88" s="1">
        <v>0</v>
      </c>
      <c r="G88" s="1">
        <v>8.4946699999999993</v>
      </c>
      <c r="H88" s="1">
        <v>0.1116974</v>
      </c>
      <c r="I88" s="1">
        <v>1.1116969999999999</v>
      </c>
      <c r="J88" s="1">
        <v>7.6411709999999999</v>
      </c>
    </row>
    <row r="89" spans="1:10" x14ac:dyDescent="0.3">
      <c r="A89" s="1" t="s">
        <v>102</v>
      </c>
      <c r="B89" s="1">
        <v>0.66666669999999995</v>
      </c>
      <c r="C89" s="1">
        <v>-1.75587E-2</v>
      </c>
      <c r="D89" s="1">
        <v>0</v>
      </c>
      <c r="E89" s="1">
        <v>0</v>
      </c>
      <c r="F89" s="1">
        <v>0</v>
      </c>
      <c r="G89" s="1">
        <v>0.64910800000000002</v>
      </c>
      <c r="H89" s="1">
        <v>3.4289999999999999E-4</v>
      </c>
      <c r="I89" s="1">
        <v>1.000343</v>
      </c>
      <c r="J89" s="1">
        <v>0.6488855</v>
      </c>
    </row>
    <row r="90" spans="1:10" x14ac:dyDescent="0.3">
      <c r="A90" s="1" t="s">
        <v>103</v>
      </c>
      <c r="B90" s="1">
        <v>0.75</v>
      </c>
      <c r="C90" s="1">
        <v>0.1003563</v>
      </c>
      <c r="D90" s="1">
        <v>0</v>
      </c>
      <c r="E90" s="1">
        <v>0</v>
      </c>
      <c r="F90" s="1">
        <v>0</v>
      </c>
      <c r="G90" s="1">
        <v>0.85035629999999995</v>
      </c>
      <c r="H90" s="1">
        <v>-1.9599000000000001E-3</v>
      </c>
      <c r="I90" s="1">
        <v>0.99804009999999999</v>
      </c>
      <c r="J90" s="1">
        <v>0.85202619999999996</v>
      </c>
    </row>
    <row r="91" spans="1:10" x14ac:dyDescent="0.3">
      <c r="A91" s="1" t="s">
        <v>104</v>
      </c>
      <c r="B91" s="1">
        <v>0.75</v>
      </c>
      <c r="C91" s="1">
        <v>-7.5490100000000004E-2</v>
      </c>
      <c r="D91" s="1">
        <v>0</v>
      </c>
      <c r="E91" s="1">
        <v>0</v>
      </c>
      <c r="F91" s="1">
        <v>0</v>
      </c>
      <c r="G91" s="1">
        <v>0.67450980000000005</v>
      </c>
      <c r="H91" s="1">
        <v>1.4743E-3</v>
      </c>
      <c r="I91" s="1">
        <v>1.001474</v>
      </c>
      <c r="J91" s="1">
        <v>0.67351689999999997</v>
      </c>
    </row>
    <row r="92" spans="1:10" x14ac:dyDescent="0.3">
      <c r="A92" s="1" t="s">
        <v>105</v>
      </c>
      <c r="B92" s="1">
        <v>0.5</v>
      </c>
      <c r="C92" s="1">
        <v>-7.7542200000000006E-2</v>
      </c>
      <c r="D92" s="1">
        <v>0</v>
      </c>
      <c r="E92" s="1">
        <v>0</v>
      </c>
      <c r="F92" s="1">
        <v>0</v>
      </c>
      <c r="G92" s="1">
        <v>0.42245779999999999</v>
      </c>
      <c r="H92" s="1">
        <v>1.5143000000000001E-3</v>
      </c>
      <c r="I92" s="1">
        <v>1.001514</v>
      </c>
      <c r="J92" s="1">
        <v>0.421819</v>
      </c>
    </row>
  </sheetData>
  <sortState xmlns:xlrd2="http://schemas.microsoft.com/office/spreadsheetml/2017/richdata2" ref="A2:K100">
    <sortCondition ref="G2:G100"/>
    <sortCondition ref="H2:H1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E1:AL129"/>
  <sheetViews>
    <sheetView tabSelected="1" topLeftCell="B5" zoomScale="51" zoomScaleNormal="40" workbookViewId="0">
      <selection activeCell="Z13" sqref="Z13"/>
    </sheetView>
  </sheetViews>
  <sheetFormatPr defaultColWidth="9.109375" defaultRowHeight="28.8" x14ac:dyDescent="0.3"/>
  <cols>
    <col min="1" max="4" width="9.109375" style="25"/>
    <col min="5" max="5" width="9.109375" style="25" customWidth="1"/>
    <col min="6" max="6" width="1.5546875" style="24" customWidth="1"/>
    <col min="7" max="7" width="1.5546875" style="25" customWidth="1"/>
    <col min="8" max="8" width="48.21875" style="25" customWidth="1"/>
    <col min="9" max="9" width="1.5546875" style="25" customWidth="1"/>
    <col min="10" max="10" width="17.5546875" style="27" customWidth="1"/>
    <col min="11" max="11" width="30.109375" style="27" customWidth="1"/>
    <col min="12" max="12" width="1.6640625" style="27" customWidth="1"/>
    <col min="13" max="16" width="17.5546875" style="27" customWidth="1"/>
    <col min="17" max="17" width="1.6640625" style="27" customWidth="1"/>
    <col min="18" max="18" width="26.21875" style="27" customWidth="1"/>
    <col min="19" max="20" width="17.5546875" style="27" customWidth="1"/>
    <col min="21" max="21" width="1.5546875" style="25" customWidth="1"/>
    <col min="22" max="22" width="1.5546875" style="24" customWidth="1"/>
    <col min="23" max="26" width="9.109375" style="25"/>
    <col min="27" max="27" width="19.33203125" style="25" bestFit="1" customWidth="1"/>
    <col min="28" max="16384" width="9.109375" style="25"/>
  </cols>
  <sheetData>
    <row r="1" spans="5:38" s="2" customFormat="1" ht="19.8" x14ac:dyDescent="0.3">
      <c r="F1" s="3"/>
      <c r="K1" s="6"/>
      <c r="L1" s="6"/>
      <c r="M1" s="6"/>
      <c r="N1" s="6"/>
      <c r="O1" s="6"/>
      <c r="P1" s="6"/>
      <c r="Q1" s="6"/>
      <c r="R1" s="6"/>
      <c r="S1" s="6"/>
      <c r="T1" s="6"/>
      <c r="V1" s="3"/>
    </row>
    <row r="2" spans="5:38" s="2" customFormat="1" ht="19.8" x14ac:dyDescent="0.3">
      <c r="F2" s="3"/>
      <c r="K2" s="6"/>
      <c r="L2" s="6"/>
      <c r="M2" s="6"/>
      <c r="N2" s="6"/>
      <c r="O2" s="6"/>
      <c r="P2" s="6"/>
      <c r="Q2" s="6"/>
      <c r="R2" s="6"/>
      <c r="S2" s="6"/>
      <c r="T2" s="6"/>
      <c r="V2" s="3"/>
    </row>
    <row r="3" spans="5:38" s="2" customFormat="1" ht="19.8" x14ac:dyDescent="0.3">
      <c r="F3" s="3"/>
      <c r="K3" s="6"/>
      <c r="L3" s="6"/>
      <c r="M3" s="6"/>
      <c r="N3" s="6"/>
      <c r="O3" s="6"/>
      <c r="P3" s="6"/>
      <c r="Q3" s="6"/>
      <c r="R3" s="6"/>
      <c r="S3" s="6"/>
      <c r="T3" s="6"/>
      <c r="V3" s="3"/>
    </row>
    <row r="4" spans="5:38" s="2" customFormat="1" ht="19.8" x14ac:dyDescent="0.3">
      <c r="F4" s="3"/>
      <c r="K4" s="6"/>
      <c r="L4" s="6"/>
      <c r="M4" s="6"/>
      <c r="N4" s="6"/>
      <c r="O4" s="6"/>
      <c r="P4" s="6"/>
      <c r="Q4" s="6"/>
      <c r="R4" s="6"/>
      <c r="S4" s="6"/>
      <c r="T4" s="6"/>
      <c r="V4" s="3"/>
    </row>
    <row r="5" spans="5:38" s="2" customFormat="1" ht="19.8" x14ac:dyDescent="0.3">
      <c r="F5" s="3"/>
      <c r="K5" s="6"/>
      <c r="L5" s="6"/>
      <c r="M5" s="6"/>
      <c r="N5" s="6"/>
      <c r="O5" s="6"/>
      <c r="P5" s="6"/>
      <c r="Q5" s="6"/>
      <c r="R5" s="6"/>
      <c r="S5" s="6"/>
      <c r="T5" s="6"/>
      <c r="V5" s="3"/>
    </row>
    <row r="6" spans="5:38" s="2" customFormat="1" ht="20.399999999999999" thickBot="1" x14ac:dyDescent="0.35">
      <c r="F6" s="3"/>
      <c r="K6" s="6"/>
      <c r="L6" s="6"/>
      <c r="M6" s="6"/>
      <c r="N6" s="6"/>
      <c r="O6" s="6"/>
      <c r="P6" s="6"/>
      <c r="Q6" s="6"/>
      <c r="R6" s="6"/>
      <c r="S6" s="6"/>
      <c r="T6" s="6"/>
      <c r="V6" s="3"/>
    </row>
    <row r="7" spans="5:38" s="2" customFormat="1" ht="10.199999999999999" customHeight="1" thickTop="1" x14ac:dyDescent="0.3"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4"/>
      <c r="V7" s="4"/>
    </row>
    <row r="8" spans="5:38" s="10" customFormat="1" ht="31.8" thickBot="1" x14ac:dyDescent="0.35">
      <c r="J8" s="44" t="s">
        <v>12</v>
      </c>
      <c r="K8" s="44"/>
      <c r="L8" s="44"/>
      <c r="M8" s="44"/>
      <c r="N8" s="44"/>
      <c r="O8" s="44"/>
      <c r="P8" s="44"/>
      <c r="Q8" s="34"/>
      <c r="R8" s="44" t="s">
        <v>13</v>
      </c>
      <c r="S8" s="44"/>
      <c r="T8" s="35"/>
    </row>
    <row r="9" spans="5:38" s="2" customFormat="1" ht="10.199999999999999" customHeight="1" thickTop="1" x14ac:dyDescent="0.3">
      <c r="F9" s="3"/>
      <c r="G9" s="3"/>
      <c r="H9" s="3"/>
      <c r="I9" s="3"/>
      <c r="J9" s="4"/>
      <c r="K9" s="5"/>
      <c r="L9" s="5"/>
      <c r="M9" s="5"/>
      <c r="N9" s="5"/>
      <c r="O9" s="5"/>
      <c r="P9" s="5"/>
      <c r="Q9" s="7"/>
      <c r="R9" s="5"/>
      <c r="S9" s="5"/>
      <c r="T9" s="7"/>
      <c r="U9" s="3"/>
      <c r="V9" s="3"/>
    </row>
    <row r="10" spans="5:38" s="11" customFormat="1" ht="29.4" thickBot="1" x14ac:dyDescent="0.35">
      <c r="F10" s="8"/>
      <c r="K10" s="13"/>
      <c r="L10" s="13"/>
      <c r="M10" s="45" t="s">
        <v>10</v>
      </c>
      <c r="N10" s="45"/>
      <c r="O10" s="12"/>
      <c r="P10" s="12"/>
      <c r="Q10" s="12"/>
      <c r="R10" s="13"/>
      <c r="S10" s="13"/>
      <c r="T10" s="8"/>
      <c r="V10" s="8"/>
    </row>
    <row r="11" spans="5:38" s="16" customFormat="1" ht="40.049999999999997" customHeight="1" thickTop="1" thickBot="1" x14ac:dyDescent="0.75">
      <c r="E11" s="39"/>
      <c r="F11" s="40" t="s">
        <v>0</v>
      </c>
      <c r="G11" s="9"/>
      <c r="H11" s="9"/>
      <c r="I11" s="9"/>
      <c r="J11" s="41" t="s">
        <v>6</v>
      </c>
      <c r="K11" s="42" t="s">
        <v>113</v>
      </c>
      <c r="L11" s="42"/>
      <c r="M11" s="43" t="s">
        <v>7</v>
      </c>
      <c r="N11" s="43" t="s">
        <v>8</v>
      </c>
      <c r="O11" s="41" t="s">
        <v>9</v>
      </c>
      <c r="P11" s="41" t="s">
        <v>4</v>
      </c>
      <c r="Q11" s="41"/>
      <c r="R11" s="42" t="s">
        <v>114</v>
      </c>
      <c r="S11" s="41" t="s">
        <v>11</v>
      </c>
      <c r="T11" s="41" t="s">
        <v>5</v>
      </c>
      <c r="U11" s="14"/>
      <c r="V11" s="14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5:38" s="16" customFormat="1" ht="10.199999999999999" customHeight="1" thickTop="1" x14ac:dyDescent="0.3"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7"/>
      <c r="V12" s="17"/>
    </row>
    <row r="13" spans="5:38" s="23" customFormat="1" ht="29.4" thickBot="1" x14ac:dyDescent="0.35">
      <c r="F13" s="19"/>
      <c r="G13" s="20" t="str">
        <f>data_export!A2</f>
        <v>Wind Production Credits</v>
      </c>
      <c r="H13" s="21"/>
      <c r="I13" s="21"/>
      <c r="J13" s="22">
        <f>IF(data_export!B2=0, "", data_export!B2)</f>
        <v>1</v>
      </c>
      <c r="K13" s="22">
        <f>IF(data_export!C2=0, "", data_export!C2)</f>
        <v>4.2477799999999997</v>
      </c>
      <c r="L13" s="22"/>
      <c r="M13" s="22">
        <f>IF(data_export!D2=0, "", data_export!D2)</f>
        <v>1.900318</v>
      </c>
      <c r="N13" s="22">
        <f>IF(data_export!E2=0, "", data_export!E2)</f>
        <v>0.64493160000000005</v>
      </c>
      <c r="O13" s="22" t="str">
        <f>IF(data_export!F2=0, "", data_export!F2)</f>
        <v/>
      </c>
      <c r="P13" s="22">
        <f>IF(data_export!G2=0, "", data_export!G2)</f>
        <v>7.7930299999999999</v>
      </c>
      <c r="Q13" s="22"/>
      <c r="R13" s="22">
        <f>IF(data_export!H2=0, "", data_export!H2)</f>
        <v>0.3276403</v>
      </c>
      <c r="S13" s="22">
        <f>IF(data_export!I2=0, "", data_export!I2)</f>
        <v>1.3276399999999999</v>
      </c>
      <c r="T13" s="22">
        <f>IF(data_export!J2=0, "", data_export!J2)</f>
        <v>5.8698350000000001</v>
      </c>
      <c r="U13" s="21"/>
      <c r="V13" s="19"/>
    </row>
    <row r="14" spans="5:38" x14ac:dyDescent="0.3">
      <c r="H14" s="26" t="str">
        <f>data_export!A3</f>
        <v>PTC (Shrimali)</v>
      </c>
      <c r="I14" s="26"/>
      <c r="J14" s="27">
        <f>IF(data_export!B3=0, "", data_export!B3)</f>
        <v>1</v>
      </c>
      <c r="K14" s="27">
        <f>IF(data_export!C3=0, "", data_export!C3)</f>
        <v>5.3255970000000001</v>
      </c>
      <c r="M14" s="27">
        <f>IF(data_export!D3=0, "", data_export!D3)</f>
        <v>3.276529</v>
      </c>
      <c r="N14" s="27">
        <f>IF(data_export!E3=0, "", data_export!E3)</f>
        <v>0.91962100000000002</v>
      </c>
      <c r="O14" s="27" t="str">
        <f>IF(data_export!F3=0, "", data_export!F3)</f>
        <v/>
      </c>
      <c r="P14" s="27">
        <f>IF(data_export!G3=0, "", data_export!G3)</f>
        <v>10.521750000000001</v>
      </c>
      <c r="R14" s="27">
        <f>IF(data_export!H3=0, "", data_export!H3)</f>
        <v>0.39422010000000002</v>
      </c>
      <c r="S14" s="27">
        <f>IF(data_export!I3=0, "", data_export!I3)</f>
        <v>1.39422</v>
      </c>
      <c r="T14" s="27">
        <f>IF(data_export!J3=0, "", data_export!J3)</f>
        <v>7.5466899999999999</v>
      </c>
    </row>
    <row r="15" spans="5:38" x14ac:dyDescent="0.3">
      <c r="H15" s="26" t="str">
        <f>data_export!A4</f>
        <v>PTC (Metcalf)</v>
      </c>
      <c r="I15" s="26"/>
      <c r="J15" s="27">
        <f>IF(data_export!B4=0, "", data_export!B4)</f>
        <v>1</v>
      </c>
      <c r="K15" s="27">
        <f>IF(data_export!C4=0, "", data_export!C4)</f>
        <v>3.9663249999999999</v>
      </c>
      <c r="M15" s="27">
        <f>IF(data_export!D4=0, "", data_export!D4)</f>
        <v>1.4268289999999999</v>
      </c>
      <c r="N15" s="27">
        <f>IF(data_export!E4=0, "", data_export!E4)</f>
        <v>0.55988090000000001</v>
      </c>
      <c r="O15" s="27" t="str">
        <f>IF(data_export!F4=0, "", data_export!F4)</f>
        <v/>
      </c>
      <c r="P15" s="27">
        <f>IF(data_export!G4=0, "", data_export!G4)</f>
        <v>6.9530349999999999</v>
      </c>
      <c r="R15" s="27">
        <f>IF(data_export!H4=0, "", data_export!H4)</f>
        <v>0.31237340000000002</v>
      </c>
      <c r="S15" s="27">
        <f>IF(data_export!I4=0, "", data_export!I4)</f>
        <v>1.312373</v>
      </c>
      <c r="T15" s="27">
        <f>IF(data_export!J4=0, "", data_export!J4)</f>
        <v>5.2980609999999997</v>
      </c>
    </row>
    <row r="16" spans="5:38" x14ac:dyDescent="0.3">
      <c r="H16" s="26" t="str">
        <f>data_export!A5</f>
        <v>PTC (Hitaj)</v>
      </c>
      <c r="I16" s="26"/>
      <c r="J16" s="27">
        <f>IF(data_export!B5=0, "", data_export!B5)</f>
        <v>1</v>
      </c>
      <c r="K16" s="27">
        <f>IF(data_export!C5=0, "", data_export!C5)</f>
        <v>3.451419</v>
      </c>
      <c r="M16" s="27">
        <f>IF(data_export!D5=0, "", data_export!D5)</f>
        <v>0.9975948</v>
      </c>
      <c r="N16" s="27">
        <f>IF(data_export!E5=0, "", data_export!E5)</f>
        <v>0.4552929</v>
      </c>
      <c r="O16" s="27" t="str">
        <f>IF(data_export!F5=0, "", data_export!F5)</f>
        <v/>
      </c>
      <c r="P16" s="27">
        <f>IF(data_export!G5=0, "", data_export!G5)</f>
        <v>5.9043070000000002</v>
      </c>
      <c r="R16" s="27">
        <f>IF(data_export!H5=0, "", data_export!H5)</f>
        <v>0.2763275</v>
      </c>
      <c r="S16" s="27">
        <f>IF(data_export!I5=0, "", data_export!I5)</f>
        <v>1.276327</v>
      </c>
      <c r="T16" s="27">
        <f>IF(data_export!J5=0, "", data_export!J5)</f>
        <v>4.6260130000000004</v>
      </c>
    </row>
    <row r="17" spans="6:22" ht="10.199999999999999" customHeight="1" x14ac:dyDescent="0.3"/>
    <row r="18" spans="6:22" ht="29.4" thickBot="1" x14ac:dyDescent="0.35">
      <c r="G18" s="20"/>
      <c r="H18" s="20" t="str">
        <f>data_export!A6</f>
        <v>Residential Solar</v>
      </c>
      <c r="I18" s="21"/>
      <c r="J18" s="22">
        <f>IF(data_export!B6=0, "", data_export!B6)</f>
        <v>1.1055999999999999</v>
      </c>
      <c r="K18" s="22">
        <f>IF(data_export!C6=0, "", data_export!C6)</f>
        <v>1.5485390000000001</v>
      </c>
      <c r="L18" s="22"/>
      <c r="M18" s="22">
        <f>IF(data_export!D6=0, "", data_export!D6)</f>
        <v>2.2798669999999999</v>
      </c>
      <c r="N18" s="22">
        <f>IF(data_export!E6=0, "", data_export!E6)</f>
        <v>1.635643</v>
      </c>
      <c r="O18" s="22">
        <f>IF(data_export!F6=0, "", data_export!F6)</f>
        <v>-0.2137665</v>
      </c>
      <c r="P18" s="22">
        <f>IF(data_export!G6=0, "", data_export!G6)</f>
        <v>6.3558830000000004</v>
      </c>
      <c r="Q18" s="22"/>
      <c r="R18" s="22">
        <f>IF(data_export!H6=0, "", data_export!H6)</f>
        <v>0.64589640000000004</v>
      </c>
      <c r="S18" s="22">
        <f>IF(data_export!I6=0, "", data_export!I6)</f>
        <v>1.645896</v>
      </c>
      <c r="T18" s="22">
        <f>IF(data_export!J6=0, "", data_export!J6)</f>
        <v>3.8616540000000001</v>
      </c>
      <c r="U18" s="21"/>
    </row>
    <row r="19" spans="6:22" x14ac:dyDescent="0.3">
      <c r="H19" s="26" t="str">
        <f>data_export!A7</f>
        <v>CSI</v>
      </c>
      <c r="I19" s="26"/>
      <c r="J19" s="27">
        <f>IF(data_export!B7=0, "", data_export!B7)</f>
        <v>1</v>
      </c>
      <c r="K19" s="27">
        <f>IF(data_export!C7=0, "", data_export!C7)</f>
        <v>3.8758750000000002</v>
      </c>
      <c r="M19" s="27">
        <f>IF(data_export!D7=0, "", data_export!D7)</f>
        <v>4.9876329999999998</v>
      </c>
      <c r="N19" s="27">
        <f>IF(data_export!E7=0, "", data_export!E7)</f>
        <v>3.98739</v>
      </c>
      <c r="O19" s="27">
        <f>IF(data_export!F7=0, "", data_export!F7)</f>
        <v>-0.53504110000000005</v>
      </c>
      <c r="P19" s="27">
        <f>IF(data_export!G7=0, "", data_export!G7)</f>
        <v>13.315860000000001</v>
      </c>
      <c r="R19" s="27">
        <f>IF(data_export!H7=0, "", data_export!H7)</f>
        <v>1.6298919999999999</v>
      </c>
      <c r="S19" s="27">
        <f>IF(data_export!I7=0, "", data_export!I7)</f>
        <v>2.6298919999999999</v>
      </c>
      <c r="T19" s="27">
        <f>IF(data_export!J7=0, "", data_export!J7)</f>
        <v>5.0632710000000003</v>
      </c>
    </row>
    <row r="20" spans="6:22" x14ac:dyDescent="0.3">
      <c r="H20" s="26" t="str">
        <f>data_export!A8</f>
        <v>NE Solar</v>
      </c>
      <c r="I20" s="26"/>
      <c r="J20" s="27">
        <f>IF(data_export!B8=0, "", data_export!B8)</f>
        <v>1</v>
      </c>
      <c r="K20" s="27">
        <f>IF(data_export!C8=0, "", data_export!C8)</f>
        <v>1.0996710000000001</v>
      </c>
      <c r="M20" s="27">
        <f>IF(data_export!D8=0, "", data_export!D8)</f>
        <v>3.1323279999999998</v>
      </c>
      <c r="N20" s="27">
        <f>IF(data_export!E8=0, "", data_export!E8)</f>
        <v>1.6098779999999999</v>
      </c>
      <c r="O20" s="27">
        <f>IF(data_export!F8=0, "", data_export!F8)</f>
        <v>-0.15180289999999999</v>
      </c>
      <c r="P20" s="27">
        <f>IF(data_export!G8=0, "", data_export!G8)</f>
        <v>6.6900740000000001</v>
      </c>
      <c r="R20" s="27">
        <f>IF(data_export!H8=0, "", data_export!H8)</f>
        <v>0.43070940000000002</v>
      </c>
      <c r="S20" s="27">
        <f>IF(data_export!I8=0, "", data_export!I8)</f>
        <v>1.430709</v>
      </c>
      <c r="T20" s="27">
        <f>IF(data_export!J8=0, "", data_export!J8)</f>
        <v>4.6760539999999997</v>
      </c>
    </row>
    <row r="21" spans="6:22" x14ac:dyDescent="0.3">
      <c r="H21" s="26" t="str">
        <f>data_export!A9</f>
        <v>CSI (TPO)</v>
      </c>
      <c r="I21" s="26"/>
      <c r="J21" s="27">
        <f>IF(data_export!B9=0, "", data_export!B9)</f>
        <v>1.528</v>
      </c>
      <c r="K21" s="27">
        <f>IF(data_export!C9=0, "", data_export!C9)</f>
        <v>1.4464570000000001</v>
      </c>
      <c r="M21" s="27">
        <f>IF(data_export!D9=0, "", data_export!D9)</f>
        <v>1.982251</v>
      </c>
      <c r="N21" s="27">
        <f>IF(data_export!E9=0, "", data_export!E9)</f>
        <v>1.371067</v>
      </c>
      <c r="O21" s="27">
        <f>IF(data_export!F9=0, "", data_export!F9)</f>
        <v>-0.19967470000000001</v>
      </c>
      <c r="P21" s="27">
        <f>IF(data_export!G9=0, "", data_export!G9)</f>
        <v>6.128101</v>
      </c>
      <c r="R21" s="27">
        <f>IF(data_export!H9=0, "", data_export!H9)</f>
        <v>0.60612149999999998</v>
      </c>
      <c r="S21" s="27">
        <f>IF(data_export!I9=0, "", data_export!I9)</f>
        <v>1.6061209999999999</v>
      </c>
      <c r="T21" s="27">
        <f>IF(data_export!J9=0, "", data_export!J9)</f>
        <v>3.8154659999999998</v>
      </c>
    </row>
    <row r="22" spans="6:22" x14ac:dyDescent="0.3">
      <c r="H22" s="26" t="str">
        <f>data_export!A10</f>
        <v>CSI (HO)</v>
      </c>
      <c r="I22" s="26"/>
      <c r="J22" s="27">
        <f>IF(data_export!B10=0, "", data_export!B10)</f>
        <v>1</v>
      </c>
      <c r="K22" s="27">
        <f>IF(data_export!C10=0, "", data_export!C10)</f>
        <v>0.8401305</v>
      </c>
      <c r="M22" s="27">
        <f>IF(data_export!D10=0, "", data_export!D10)</f>
        <v>1.0811139999999999</v>
      </c>
      <c r="N22" s="27">
        <f>IF(data_export!E10=0, "", data_export!E10)</f>
        <v>0.86430249999999997</v>
      </c>
      <c r="O22" s="27">
        <f>IF(data_export!F10=0, "", data_export!F10)</f>
        <v>-0.11597490000000001</v>
      </c>
      <c r="P22" s="27">
        <f>IF(data_export!G10=0, "", data_export!G10)</f>
        <v>3.6695720000000001</v>
      </c>
      <c r="R22" s="27">
        <f>IF(data_export!H10=0, "", data_export!H10)</f>
        <v>0.35329369999999999</v>
      </c>
      <c r="S22" s="27">
        <f>IF(data_export!I10=0, "", data_export!I10)</f>
        <v>1.353294</v>
      </c>
      <c r="T22" s="27">
        <f>IF(data_export!J10=0, "", data_export!J10)</f>
        <v>2.7115860000000001</v>
      </c>
    </row>
    <row r="23" spans="6:22" x14ac:dyDescent="0.3">
      <c r="H23" s="26" t="str">
        <f>data_export!A11</f>
        <v>CT Solar</v>
      </c>
      <c r="I23" s="26"/>
      <c r="J23" s="27">
        <f>IF(data_export!B11=0, "", data_export!B11)</f>
        <v>1</v>
      </c>
      <c r="K23" s="27">
        <f>IF(data_export!C11=0, "", data_export!C11)</f>
        <v>0.48056339999999997</v>
      </c>
      <c r="M23" s="27">
        <f>IF(data_export!D11=0, "", data_export!D11)</f>
        <v>0.2160097</v>
      </c>
      <c r="N23" s="27">
        <f>IF(data_export!E11=0, "", data_export!E11)</f>
        <v>0.34557589999999999</v>
      </c>
      <c r="O23" s="27">
        <f>IF(data_export!F11=0, "", data_export!F11)</f>
        <v>-6.6338900000000006E-2</v>
      </c>
      <c r="P23" s="27">
        <f>IF(data_export!G11=0, "", data_export!G11)</f>
        <v>1.9758100000000001</v>
      </c>
      <c r="R23" s="27">
        <f>IF(data_export!H11=0, "", data_export!H11)</f>
        <v>0.2094654</v>
      </c>
      <c r="S23" s="27">
        <f>IF(data_export!I11=0, "", data_export!I11)</f>
        <v>1.209465</v>
      </c>
      <c r="T23" s="27">
        <f>IF(data_export!J11=0, "", data_export!J11)</f>
        <v>1.633623</v>
      </c>
    </row>
    <row r="24" spans="6:22" ht="10.199999999999999" customHeight="1" x14ac:dyDescent="0.3"/>
    <row r="25" spans="6:22" s="23" customFormat="1" ht="29.4" thickBot="1" x14ac:dyDescent="0.35">
      <c r="F25" s="19"/>
      <c r="G25" s="20" t="str">
        <f>data_export!A12</f>
        <v>Electric Vehicles</v>
      </c>
      <c r="H25" s="21"/>
      <c r="I25" s="21"/>
      <c r="J25" s="22">
        <f>IF(data_export!B12=0, "", data_export!B12)</f>
        <v>1</v>
      </c>
      <c r="K25" s="22">
        <f>IF(data_export!C12=0, "", data_export!C12)</f>
        <v>8.8997800000000002E-2</v>
      </c>
      <c r="L25" s="22"/>
      <c r="M25" s="22">
        <f>IF(data_export!D12=0, "", data_export!D12)</f>
        <v>7.33491E-2</v>
      </c>
      <c r="N25" s="22">
        <f>IF(data_export!E12=0, "", data_export!E12)</f>
        <v>0.45164759999999998</v>
      </c>
      <c r="O25" s="22">
        <f>IF(data_export!F12=0, "", data_export!F12)</f>
        <v>-4.2789899999999999E-2</v>
      </c>
      <c r="P25" s="22">
        <f>IF(data_export!G12=0, "", data_export!G12)</f>
        <v>1.571205</v>
      </c>
      <c r="Q25" s="22"/>
      <c r="R25" s="22">
        <f>IF(data_export!H12=0, "", data_export!H12)</f>
        <v>8.7151400000000004E-2</v>
      </c>
      <c r="S25" s="22">
        <f>IF(data_export!I12=0, "", data_export!I12)</f>
        <v>1.087151</v>
      </c>
      <c r="T25" s="22">
        <f>IF(data_export!J12=0, "", data_export!J12)</f>
        <v>1.445249</v>
      </c>
      <c r="U25" s="21"/>
      <c r="V25" s="19"/>
    </row>
    <row r="26" spans="6:22" x14ac:dyDescent="0.3">
      <c r="H26" s="26" t="str">
        <f>data_export!A13</f>
        <v>BEV (State - Rebate)</v>
      </c>
      <c r="I26" s="26"/>
      <c r="J26" s="27">
        <f>IF(data_export!B13=0, "", data_export!B13)</f>
        <v>1</v>
      </c>
      <c r="K26" s="27">
        <f>IF(data_export!C13=0, "", data_export!C13)</f>
        <v>0.10679660000000001</v>
      </c>
      <c r="M26" s="27">
        <f>IF(data_export!D13=0, "", data_export!D13)</f>
        <v>0.1027134</v>
      </c>
      <c r="N26" s="27">
        <f>IF(data_export!E13=0, "", data_export!E13)</f>
        <v>0.56373790000000001</v>
      </c>
      <c r="O26" s="27">
        <f>IF(data_export!F13=0, "", data_export!F13)</f>
        <v>-5.1347499999999997E-2</v>
      </c>
      <c r="P26" s="27">
        <f>IF(data_export!G13=0, "", data_export!G13)</f>
        <v>1.7219</v>
      </c>
      <c r="R26" s="27">
        <f>IF(data_export!H13=0, "", data_export!H13)</f>
        <v>0.10289429999999999</v>
      </c>
      <c r="S26" s="27">
        <f>IF(data_export!I13=0, "", data_export!I13)</f>
        <v>1.102894</v>
      </c>
      <c r="T26" s="27">
        <f>IF(data_export!J13=0, "", data_export!J13)</f>
        <v>1.561256</v>
      </c>
    </row>
    <row r="27" spans="6:22" x14ac:dyDescent="0.3">
      <c r="H27" s="26" t="str">
        <f>data_export!A14</f>
        <v>ITC (EV)</v>
      </c>
      <c r="I27" s="26"/>
      <c r="J27" s="27">
        <f>IF(data_export!B14=0, "", data_export!B14)</f>
        <v>1</v>
      </c>
      <c r="K27" s="27">
        <f>IF(data_export!C14=0, "", data_export!C14)</f>
        <v>9.5150700000000005E-2</v>
      </c>
      <c r="M27" s="27">
        <f>IF(data_export!D14=0, "", data_export!D14)</f>
        <v>7.7701800000000001E-2</v>
      </c>
      <c r="N27" s="27">
        <f>IF(data_export!E14=0, "", data_export!E14)</f>
        <v>0.48204710000000001</v>
      </c>
      <c r="O27" s="27">
        <f>IF(data_export!F14=0, "", data_export!F14)</f>
        <v>-4.5748200000000003E-2</v>
      </c>
      <c r="P27" s="27">
        <f>IF(data_export!G14=0, "", data_export!G14)</f>
        <v>1.609151</v>
      </c>
      <c r="R27" s="27">
        <f>IF(data_export!H14=0, "", data_export!H14)</f>
        <v>9.19185E-2</v>
      </c>
      <c r="S27" s="27">
        <f>IF(data_export!I14=0, "", data_export!I14)</f>
        <v>1.0919179999999999</v>
      </c>
      <c r="T27" s="27">
        <f>IF(data_export!J14=0, "", data_export!J14)</f>
        <v>1.473692</v>
      </c>
    </row>
    <row r="28" spans="6:22" x14ac:dyDescent="0.3">
      <c r="H28" s="26" t="str">
        <f>data_export!A15</f>
        <v>EFMP</v>
      </c>
      <c r="I28" s="26"/>
      <c r="J28" s="27">
        <f>IF(data_export!B15=0, "", data_export!B15)</f>
        <v>1</v>
      </c>
      <c r="K28" s="27">
        <f>IF(data_export!C15=0, "", data_export!C15)</f>
        <v>6.5046199999999998E-2</v>
      </c>
      <c r="M28" s="27">
        <f>IF(data_export!D15=0, "", data_export!D15)</f>
        <v>3.9632100000000003E-2</v>
      </c>
      <c r="N28" s="27">
        <f>IF(data_export!E15=0, "", data_export!E15)</f>
        <v>0.30915779999999998</v>
      </c>
      <c r="O28" s="27">
        <f>IF(data_export!F15=0, "", data_export!F15)</f>
        <v>-3.1274099999999999E-2</v>
      </c>
      <c r="P28" s="27">
        <f>IF(data_export!G15=0, "", data_export!G15)</f>
        <v>1.3825620000000001</v>
      </c>
      <c r="R28" s="27">
        <f>IF(data_export!H15=0, "", data_export!H15)</f>
        <v>6.6641400000000003E-2</v>
      </c>
      <c r="S28" s="27">
        <f>IF(data_export!I15=0, "", data_export!I15)</f>
        <v>1.066641</v>
      </c>
      <c r="T28" s="27">
        <f>IF(data_export!J15=0, "", data_export!J15)</f>
        <v>1.2961830000000001</v>
      </c>
    </row>
    <row r="29" spans="6:22" ht="10.199999999999999" customHeight="1" x14ac:dyDescent="0.3"/>
    <row r="30" spans="6:22" ht="29.4" thickBot="1" x14ac:dyDescent="0.35">
      <c r="G30" s="20" t="str">
        <f>data_export!A16</f>
        <v>Appliance Rebates</v>
      </c>
      <c r="H30" s="20"/>
      <c r="I30" s="21"/>
      <c r="J30" s="22">
        <f>IF(data_export!B16=0, "", data_export!B16)</f>
        <v>0.86747830000000004</v>
      </c>
      <c r="K30" s="22">
        <f>IF(data_export!C16=0, "", data_export!C16)</f>
        <v>0.45064989999999999</v>
      </c>
      <c r="L30" s="22"/>
      <c r="M30" s="22" t="str">
        <f>IF(data_export!D16=0, "", data_export!D16)</f>
        <v/>
      </c>
      <c r="N30" s="22" t="str">
        <f>IF(data_export!E16=0, "", data_export!E16)</f>
        <v/>
      </c>
      <c r="O30" s="22">
        <f>IF(data_export!F16=0, "", data_export!F16)</f>
        <v>-0.1031324</v>
      </c>
      <c r="P30" s="22">
        <f>IF(data_export!G16=0, "", data_export!G16)</f>
        <v>1.214996</v>
      </c>
      <c r="Q30" s="22"/>
      <c r="R30" s="22">
        <f>IF(data_export!H16=0, "", data_export!H16)</f>
        <v>4.3586800000000002E-2</v>
      </c>
      <c r="S30" s="22">
        <f>IF(data_export!I16=0, "", data_export!I16)</f>
        <v>1.043587</v>
      </c>
      <c r="T30" s="22">
        <f>IF(data_export!J16=0, "", data_export!J16)</f>
        <v>1.16425</v>
      </c>
      <c r="U30" s="22"/>
      <c r="V30" s="19"/>
    </row>
    <row r="31" spans="6:22" x14ac:dyDescent="0.3">
      <c r="H31" s="26" t="str">
        <f>data_export!A17</f>
        <v>C4A (CW)</v>
      </c>
      <c r="I31" s="26"/>
      <c r="J31" s="27">
        <f>IF(data_export!B17=0, "", data_export!B17)</f>
        <v>0.95250000000000001</v>
      </c>
      <c r="K31" s="27">
        <f>IF(data_export!C17=0, "", data_export!C17)</f>
        <v>0.50880340000000002</v>
      </c>
      <c r="M31" s="27" t="str">
        <f>IF(data_export!D17=0, "", data_export!D17)</f>
        <v/>
      </c>
      <c r="N31" s="27" t="str">
        <f>IF(data_export!E17=0, "", data_export!E17)</f>
        <v/>
      </c>
      <c r="O31" s="27">
        <f>IF(data_export!F17=0, "", data_export!F17)</f>
        <v>-3.8752099999999998E-2</v>
      </c>
      <c r="P31" s="27">
        <f>IF(data_export!G17=0, "", data_export!G17)</f>
        <v>1.4225509999999999</v>
      </c>
      <c r="R31" s="27">
        <f>IF(data_export!H17=0, "", data_export!H17)</f>
        <v>1.24157E-2</v>
      </c>
      <c r="S31" s="27">
        <f>IF(data_export!I17=0, "", data_export!I17)</f>
        <v>1.012416</v>
      </c>
      <c r="T31" s="27">
        <f>IF(data_export!J17=0, "", data_export!J17)</f>
        <v>1.405106</v>
      </c>
    </row>
    <row r="32" spans="6:22" x14ac:dyDescent="0.3">
      <c r="H32" s="26" t="str">
        <f>data_export!A18</f>
        <v>ES (WH)</v>
      </c>
      <c r="I32" s="26"/>
      <c r="J32" s="27">
        <f>IF(data_export!B18=0, "", data_export!B18)</f>
        <v>0.59782610000000003</v>
      </c>
      <c r="K32" s="27">
        <f>IF(data_export!C18=0, "", data_export!C18)</f>
        <v>1.505917</v>
      </c>
      <c r="M32" s="27" t="str">
        <f>IF(data_export!D18=0, "", data_export!D18)</f>
        <v/>
      </c>
      <c r="N32" s="27" t="str">
        <f>IF(data_export!E18=0, "", data_export!E18)</f>
        <v/>
      </c>
      <c r="O32" s="27">
        <f>IF(data_export!F18=0, "", data_export!F18)</f>
        <v>-0.65867869999999995</v>
      </c>
      <c r="P32" s="27">
        <f>IF(data_export!G18=0, "", data_export!G18)</f>
        <v>1.445065</v>
      </c>
      <c r="R32" s="27">
        <f>IF(data_export!H18=0, "", data_export!H18)</f>
        <v>7.8375299999999995E-2</v>
      </c>
      <c r="S32" s="27">
        <f>IF(data_export!I18=0, "", data_export!I18)</f>
        <v>1.0783750000000001</v>
      </c>
      <c r="T32" s="27">
        <f>IF(data_export!J18=0, "", data_export!J18)</f>
        <v>1.340039</v>
      </c>
    </row>
    <row r="33" spans="6:27" x14ac:dyDescent="0.3">
      <c r="H33" s="26" t="str">
        <f>data_export!A19</f>
        <v>ES (CW)</v>
      </c>
      <c r="J33" s="27">
        <f>IF(data_export!B19=0, "", data_export!B19)</f>
        <v>1</v>
      </c>
      <c r="K33" s="27">
        <f>IF(data_export!C19=0, "", data_export!C19)</f>
        <v>0.79383159999999997</v>
      </c>
      <c r="M33" s="27" t="str">
        <f>IF(data_export!D19=0, "", data_export!D19)</f>
        <v/>
      </c>
      <c r="N33" s="27" t="str">
        <f>IF(data_export!E19=0, "", data_export!E19)</f>
        <v/>
      </c>
      <c r="O33" s="27">
        <f>IF(data_export!F19=0, "", data_export!F19)</f>
        <v>-7.1863700000000003E-2</v>
      </c>
      <c r="P33" s="27">
        <f>IF(data_export!G19=0, "", data_export!G19)</f>
        <v>1.7219679999999999</v>
      </c>
      <c r="R33" s="27">
        <f>IF(data_export!H19=0, "", data_export!H19)</f>
        <v>0.314836</v>
      </c>
      <c r="S33" s="27">
        <f>IF(data_export!I19=0, "", data_export!I19)</f>
        <v>1.3148359999999999</v>
      </c>
      <c r="T33" s="27">
        <f>IF(data_export!J19=0, "", data_export!J19)</f>
        <v>1.3096449999999999</v>
      </c>
    </row>
    <row r="34" spans="6:27" s="23" customFormat="1" x14ac:dyDescent="0.3">
      <c r="F34" s="19"/>
      <c r="G34" s="24"/>
      <c r="H34" s="26" t="str">
        <f>data_export!A20</f>
        <v>C4A (DW)</v>
      </c>
      <c r="I34" s="26"/>
      <c r="J34" s="27">
        <f>IF(data_export!B20=0, "", data_export!B20)</f>
        <v>0.92949999999999999</v>
      </c>
      <c r="K34" s="27">
        <f>IF(data_export!C20=0, "", data_export!C20)</f>
        <v>0.2253946</v>
      </c>
      <c r="L34" s="27"/>
      <c r="M34" s="27" t="str">
        <f>IF(data_export!D20=0, "", data_export!D20)</f>
        <v/>
      </c>
      <c r="N34" s="27" t="str">
        <f>IF(data_export!E20=0, "", data_export!E20)</f>
        <v/>
      </c>
      <c r="O34" s="27">
        <f>IF(data_export!F20=0, "", data_export!F20)</f>
        <v>-1.6616300000000001E-2</v>
      </c>
      <c r="P34" s="27">
        <f>IF(data_export!G20=0, "", data_export!G20)</f>
        <v>1.1382779999999999</v>
      </c>
      <c r="Q34" s="27"/>
      <c r="R34" s="27">
        <f>IF(data_export!H20=0, "", data_export!H20)</f>
        <v>5.2036000000000001E-3</v>
      </c>
      <c r="S34" s="27">
        <f>IF(data_export!I20=0, "", data_export!I20)</f>
        <v>1.005204</v>
      </c>
      <c r="T34" s="27">
        <f>IF(data_export!J20=0, "", data_export!J20)</f>
        <v>1.1323859999999999</v>
      </c>
      <c r="U34" s="27"/>
      <c r="V34" s="24"/>
    </row>
    <row r="35" spans="6:27" x14ac:dyDescent="0.3">
      <c r="H35" s="26" t="str">
        <f>data_export!A21</f>
        <v>ES (DW)</v>
      </c>
      <c r="I35" s="26"/>
      <c r="J35" s="27">
        <f>IF(data_export!B21=0, "", data_export!B21)</f>
        <v>1</v>
      </c>
      <c r="K35" s="27">
        <f>IF(data_export!C21=0, "", data_export!C21)</f>
        <v>-0.2053294</v>
      </c>
      <c r="M35" s="27" t="str">
        <f>IF(data_export!D21=0, "", data_export!D21)</f>
        <v/>
      </c>
      <c r="N35" s="27" t="str">
        <f>IF(data_export!E21=0, "", data_export!E21)</f>
        <v/>
      </c>
      <c r="O35" s="27">
        <f>IF(data_export!F21=0, "", data_export!F21)</f>
        <v>1.8588E-2</v>
      </c>
      <c r="P35" s="27">
        <f>IF(data_export!G21=0, "", data_export!G21)</f>
        <v>0.81325860000000005</v>
      </c>
      <c r="R35" s="27">
        <f>IF(data_export!H21=0, "", data_export!H21)</f>
        <v>-0.22795270000000001</v>
      </c>
      <c r="S35" s="27">
        <f>IF(data_export!I21=0, "", data_export!I21)</f>
        <v>0.77204729999999999</v>
      </c>
      <c r="T35" s="27">
        <f>IF(data_export!J21=0, "", data_export!J21)</f>
        <v>1.0533790000000001</v>
      </c>
    </row>
    <row r="36" spans="6:27" x14ac:dyDescent="0.3">
      <c r="H36" s="26" t="str">
        <f>data_export!A22</f>
        <v>C4A (Fridge)</v>
      </c>
      <c r="I36" s="26"/>
      <c r="J36" s="27">
        <f>IF(data_export!B22=0, "", data_export!B22)</f>
        <v>0.95999990000000002</v>
      </c>
      <c r="K36" s="27">
        <f>IF(data_export!C22=0, "", data_export!C22)</f>
        <v>9.1472300000000006E-2</v>
      </c>
      <c r="M36" s="27" t="str">
        <f>IF(data_export!D22=0, "", data_export!D22)</f>
        <v/>
      </c>
      <c r="N36" s="27" t="str">
        <f>IF(data_export!E22=0, "", data_export!E22)</f>
        <v/>
      </c>
      <c r="O36" s="27">
        <f>IF(data_export!F22=0, "", data_export!F22)</f>
        <v>-7.1806999999999999E-3</v>
      </c>
      <c r="P36" s="27">
        <f>IF(data_export!G22=0, "", data_export!G22)</f>
        <v>1.044292</v>
      </c>
      <c r="R36" s="27">
        <f>IF(data_export!H22=0, "", data_export!H22)</f>
        <v>2.3471999999999998E-3</v>
      </c>
      <c r="S36" s="27">
        <f>IF(data_export!I22=0, "", data_export!I22)</f>
        <v>1.0023470000000001</v>
      </c>
      <c r="T36" s="27">
        <f>IF(data_export!J22=0, "", data_export!J22)</f>
        <v>1.041846</v>
      </c>
    </row>
    <row r="37" spans="6:27" x14ac:dyDescent="0.3">
      <c r="H37" s="26" t="str">
        <f>data_export!A23</f>
        <v>ES (Fridge)</v>
      </c>
      <c r="I37" s="26"/>
      <c r="J37" s="27">
        <f>IF(data_export!B23=0, "", data_export!B23)</f>
        <v>1</v>
      </c>
      <c r="K37" s="27">
        <f>IF(data_export!C23=0, "", data_export!C23)</f>
        <v>0.18327270000000001</v>
      </c>
      <c r="M37" s="27" t="str">
        <f>IF(data_export!D23=0, "", data_export!D23)</f>
        <v/>
      </c>
      <c r="N37" s="27" t="str">
        <f>IF(data_export!E23=0, "", data_export!E23)</f>
        <v/>
      </c>
      <c r="O37" s="27">
        <f>IF(data_export!F23=0, "", data_export!F23)</f>
        <v>-1.65912E-2</v>
      </c>
      <c r="P37" s="27">
        <f>IF(data_export!G23=0, "", data_export!G23)</f>
        <v>1.1666810000000001</v>
      </c>
      <c r="R37" s="27">
        <f>IF(data_export!H23=0, "", data_export!H23)</f>
        <v>0.15350910000000001</v>
      </c>
      <c r="S37" s="27">
        <f>IF(data_export!I23=0, "", data_export!I23)</f>
        <v>1.1535089999999999</v>
      </c>
      <c r="T37" s="27">
        <f>IF(data_export!J23=0, "", data_export!J23)</f>
        <v>1.0114190000000001</v>
      </c>
    </row>
    <row r="38" spans="6:27" x14ac:dyDescent="0.3">
      <c r="H38" s="26" t="str">
        <f>data_export!A24</f>
        <v>CA ESA</v>
      </c>
      <c r="I38" s="26"/>
      <c r="J38" s="27">
        <f>IF(data_export!B24=0, "", data_export!B24)</f>
        <v>0.5</v>
      </c>
      <c r="K38" s="27">
        <f>IF(data_export!C24=0, "", data_export!C24)</f>
        <v>0.50183639999999996</v>
      </c>
      <c r="M38" s="27" t="str">
        <f>IF(data_export!D24=0, "", data_export!D24)</f>
        <v/>
      </c>
      <c r="N38" s="27" t="str">
        <f>IF(data_export!E24=0, "", data_export!E24)</f>
        <v/>
      </c>
      <c r="O38" s="27">
        <f>IF(data_export!F24=0, "", data_export!F24)</f>
        <v>-3.3964899999999999E-2</v>
      </c>
      <c r="P38" s="27">
        <f>IF(data_export!G24=0, "", data_export!G24)</f>
        <v>0.96787160000000005</v>
      </c>
      <c r="R38" s="27">
        <f>IF(data_export!H24=0, "", data_export!H24)</f>
        <v>9.9600000000000001E-3</v>
      </c>
      <c r="S38" s="27">
        <f>IF(data_export!I24=0, "", data_export!I24)</f>
        <v>1.00996</v>
      </c>
      <c r="T38" s="27">
        <f>IF(data_export!J24=0, "", data_export!J24)</f>
        <v>0.95832660000000003</v>
      </c>
    </row>
    <row r="39" spans="6:27" ht="10.199999999999999" customHeight="1" x14ac:dyDescent="0.3"/>
    <row r="40" spans="6:27" ht="29.4" thickBot="1" x14ac:dyDescent="0.35">
      <c r="G40" s="20" t="str">
        <f>data_export!A25</f>
        <v>Vehicle Retirement</v>
      </c>
      <c r="H40" s="20"/>
      <c r="I40" s="21"/>
      <c r="J40" s="22">
        <f>IF(data_export!B25=0, "", data_export!B25)</f>
        <v>0.91011240000000004</v>
      </c>
      <c r="K40" s="22">
        <f>IF(data_export!C25=0, "", data_export!C25)</f>
        <v>0.24524000000000001</v>
      </c>
      <c r="L40" s="22"/>
      <c r="M40" s="22" t="str">
        <f>IF(data_export!D25=0, "", data_export!D25)</f>
        <v/>
      </c>
      <c r="N40" s="22" t="str">
        <f>IF(data_export!E25=0, "", data_export!E25)</f>
        <v/>
      </c>
      <c r="O40" s="22">
        <f>IF(data_export!F25=0, "", data_export!F25)</f>
        <v>-4.9273600000000001E-2</v>
      </c>
      <c r="P40" s="22">
        <f>IF(data_export!G25=0, "", data_export!G25)</f>
        <v>1.106079</v>
      </c>
      <c r="Q40" s="22"/>
      <c r="R40" s="22">
        <f>IF(data_export!H25=0, "", data_export!H25)</f>
        <v>5.5976699999999997E-2</v>
      </c>
      <c r="S40" s="22">
        <f>IF(data_export!I25=0, "", data_export!I25)</f>
        <v>1.0559769999999999</v>
      </c>
      <c r="T40" s="22">
        <f>IF(data_export!J25=0, "", data_export!J25)</f>
        <v>1.0474460000000001</v>
      </c>
      <c r="U40" s="22"/>
      <c r="V40" s="19"/>
    </row>
    <row r="41" spans="6:27" x14ac:dyDescent="0.3">
      <c r="H41" s="26" t="str">
        <f>data_export!A26</f>
        <v>C4C (TX)</v>
      </c>
      <c r="I41" s="26"/>
      <c r="J41" s="27">
        <f>IF(data_export!B26=0, "", data_export!B26)</f>
        <v>1</v>
      </c>
      <c r="K41" s="27">
        <f>IF(data_export!C26=0, "", data_export!C26)</f>
        <v>0.2313007</v>
      </c>
      <c r="M41" s="27" t="str">
        <f>IF(data_export!D26=0, "", data_export!D26)</f>
        <v/>
      </c>
      <c r="N41" s="27" t="str">
        <f>IF(data_export!E26=0, "", data_export!E26)</f>
        <v/>
      </c>
      <c r="O41" s="27">
        <f>IF(data_export!F26=0, "", data_export!F26)</f>
        <v>-7.4098399999999995E-2</v>
      </c>
      <c r="P41" s="27">
        <f>IF(data_export!G26=0, "", data_export!G26)</f>
        <v>1.1572020000000001</v>
      </c>
      <c r="R41" s="27">
        <f>IF(data_export!H26=0, "", data_export!H26)</f>
        <v>8.4411600000000003E-2</v>
      </c>
      <c r="S41" s="27">
        <f>IF(data_export!I26=0, "", data_export!I26)</f>
        <v>1.0844119999999999</v>
      </c>
      <c r="T41" s="27">
        <f>IF(data_export!J26=0, "", data_export!J26)</f>
        <v>1.0671250000000001</v>
      </c>
    </row>
    <row r="42" spans="6:27" x14ac:dyDescent="0.3">
      <c r="H42" s="26" t="str">
        <f>data_export!A27</f>
        <v>C4C (US)</v>
      </c>
      <c r="I42" s="26"/>
      <c r="J42" s="27">
        <f>IF(data_export!B27=0, "", data_export!B27)</f>
        <v>1</v>
      </c>
      <c r="K42" s="27">
        <f>IF(data_export!C27=0, "", data_export!C27)</f>
        <v>0.1507279</v>
      </c>
      <c r="M42" s="27" t="str">
        <f>IF(data_export!D27=0, "", data_export!D27)</f>
        <v/>
      </c>
      <c r="N42" s="27" t="str">
        <f>IF(data_export!E27=0, "", data_export!E27)</f>
        <v/>
      </c>
      <c r="O42" s="27">
        <f>IF(data_export!F27=0, "", data_export!F27)</f>
        <v>-4.8607299999999999E-2</v>
      </c>
      <c r="P42" s="27">
        <f>IF(data_export!G27=0, "", data_export!G27)</f>
        <v>1.1021209999999999</v>
      </c>
      <c r="R42" s="27">
        <f>IF(data_export!H27=0, "", data_export!H27)</f>
        <v>5.5380899999999997E-2</v>
      </c>
      <c r="S42" s="27">
        <f>IF(data_export!I27=0, "", data_export!I27)</f>
        <v>1.0553809999999999</v>
      </c>
      <c r="T42" s="27">
        <f>IF(data_export!J27=0, "", data_export!J27)</f>
        <v>1.044287</v>
      </c>
    </row>
    <row r="43" spans="6:27" x14ac:dyDescent="0.3">
      <c r="H43" s="26" t="str">
        <f>data_export!A28</f>
        <v>BAAQMD</v>
      </c>
      <c r="I43" s="26"/>
      <c r="J43" s="27">
        <f>IF(data_export!B28=0, "", data_export!B28)</f>
        <v>0.73033709999999996</v>
      </c>
      <c r="K43" s="27">
        <f>IF(data_export!C28=0, "", data_export!C28)</f>
        <v>0.35369139999999999</v>
      </c>
      <c r="M43" s="27" t="str">
        <f>IF(data_export!D28=0, "", data_export!D28)</f>
        <v/>
      </c>
      <c r="N43" s="27" t="str">
        <f>IF(data_export!E28=0, "", data_export!E28)</f>
        <v/>
      </c>
      <c r="O43" s="27">
        <f>IF(data_export!F28=0, "", data_export!F28)</f>
        <v>-2.5115200000000001E-2</v>
      </c>
      <c r="P43" s="27">
        <f>IF(data_export!G28=0, "", data_export!G28)</f>
        <v>1.058913</v>
      </c>
      <c r="R43" s="27">
        <f>IF(data_export!H28=0, "", data_export!H28)</f>
        <v>2.8137599999999999E-2</v>
      </c>
      <c r="S43" s="27">
        <f>IF(data_export!I28=0, "", data_export!I28)</f>
        <v>1.028138</v>
      </c>
      <c r="T43" s="27">
        <f>IF(data_export!J28=0, "", data_export!J28)</f>
        <v>1.029933</v>
      </c>
      <c r="AA43" s="38"/>
    </row>
    <row r="44" spans="6:27" ht="10.199999999999999" customHeight="1" x14ac:dyDescent="0.3"/>
    <row r="45" spans="6:27" ht="29.4" thickBot="1" x14ac:dyDescent="0.35">
      <c r="G45" s="20" t="str">
        <f>data_export!A29</f>
        <v>Hybrid Vehicles</v>
      </c>
      <c r="H45" s="20"/>
      <c r="I45" s="21"/>
      <c r="J45" s="22">
        <f>IF(data_export!B29=0, "", data_export!B29)</f>
        <v>1</v>
      </c>
      <c r="K45" s="22">
        <f>IF(data_export!C29=0, "", data_export!C29)</f>
        <v>8.1382999999999994E-3</v>
      </c>
      <c r="L45" s="22"/>
      <c r="M45" s="22">
        <f>IF(data_export!D29=0, "", data_export!D29)</f>
        <v>3.8830000000000001E-4</v>
      </c>
      <c r="N45" s="22">
        <f>IF(data_export!E29=0, "", data_export!E29)</f>
        <v>1.38026E-2</v>
      </c>
      <c r="O45" s="22">
        <f>IF(data_export!F29=0, "", data_export!F29)</f>
        <v>-6.4311000000000004E-3</v>
      </c>
      <c r="P45" s="22">
        <f>IF(data_export!G29=0, "", data_export!G29)</f>
        <v>1.015898</v>
      </c>
      <c r="Q45" s="22"/>
      <c r="R45" s="22">
        <f>IF(data_export!H29=0, "", data_export!H29)</f>
        <v>3.6840000000000002E-3</v>
      </c>
      <c r="S45" s="22">
        <f>IF(data_export!I29=0, "", data_export!I29)</f>
        <v>1.003684</v>
      </c>
      <c r="T45" s="22">
        <f>IF(data_export!J29=0, "", data_export!J29)</f>
        <v>1.0121690000000001</v>
      </c>
      <c r="U45" s="22"/>
      <c r="V45" s="19"/>
    </row>
    <row r="46" spans="6:27" x14ac:dyDescent="0.3">
      <c r="H46" s="26" t="str">
        <f>data_export!A30</f>
        <v>HY (S-STW)</v>
      </c>
      <c r="I46" s="26"/>
      <c r="J46" s="27">
        <f>IF(data_export!B30=0, "", data_export!B30)</f>
        <v>1</v>
      </c>
      <c r="K46" s="27">
        <f>IF(data_export!C30=0, "", data_export!C30)</f>
        <v>1.8095900000000002E-2</v>
      </c>
      <c r="M46" s="27">
        <f>IF(data_export!D30=0, "", data_export!D30)</f>
        <v>1.0736999999999999E-3</v>
      </c>
      <c r="N46" s="27">
        <f>IF(data_export!E30=0, "", data_export!E30)</f>
        <v>3.0823699999999999E-2</v>
      </c>
      <c r="O46" s="27">
        <f>IF(data_export!F30=0, "", data_export!F30)</f>
        <v>-1.42997E-2</v>
      </c>
      <c r="P46" s="27">
        <f>IF(data_export!G30=0, "", data_export!G30)</f>
        <v>1.0356939999999999</v>
      </c>
      <c r="R46" s="27">
        <f>IF(data_export!H30=0, "", data_export!H30)</f>
        <v>8.1831999999999998E-3</v>
      </c>
      <c r="S46" s="27">
        <f>IF(data_export!I30=0, "", data_export!I30)</f>
        <v>1.0081830000000001</v>
      </c>
      <c r="T46" s="27">
        <f>IF(data_export!J30=0, "", data_export!J30)</f>
        <v>1.0272870000000001</v>
      </c>
    </row>
    <row r="47" spans="6:27" x14ac:dyDescent="0.3">
      <c r="H47" s="26" t="str">
        <f>data_export!A31</f>
        <v>HY (F-ITC)</v>
      </c>
      <c r="I47" s="26"/>
      <c r="J47" s="27">
        <f>IF(data_export!B31=0, "", data_export!B31)</f>
        <v>1</v>
      </c>
      <c r="K47" s="27">
        <f>IF(data_export!C31=0, "", data_export!C31)</f>
        <v>5.1932000000000002E-3</v>
      </c>
      <c r="M47" s="27">
        <f>IF(data_export!D31=0, "", data_export!D31)</f>
        <v>8.7000000000000001E-5</v>
      </c>
      <c r="N47" s="27">
        <f>IF(data_export!E31=0, "", data_export!E31)</f>
        <v>8.7060999999999996E-3</v>
      </c>
      <c r="O47" s="27">
        <f>IF(data_export!F31=0, "", data_export!F31)</f>
        <v>-4.1038000000000003E-3</v>
      </c>
      <c r="P47" s="27">
        <f>IF(data_export!G31=0, "", data_export!G31)</f>
        <v>1.0098830000000001</v>
      </c>
      <c r="R47" s="27">
        <f>IF(data_export!H31=0, "", data_export!H31)</f>
        <v>2.3571E-3</v>
      </c>
      <c r="S47" s="27">
        <f>IF(data_export!I31=0, "", data_export!I31)</f>
        <v>1.0023569999999999</v>
      </c>
      <c r="T47" s="27">
        <f>IF(data_export!J31=0, "", data_export!J31)</f>
        <v>1.0075080000000001</v>
      </c>
    </row>
    <row r="48" spans="6:27" x14ac:dyDescent="0.3">
      <c r="H48" s="26" t="str">
        <f>data_export!A32</f>
        <v>HY (S-ITC)</v>
      </c>
      <c r="I48" s="26"/>
      <c r="J48" s="27">
        <f>IF(data_export!B32=0, "", data_export!B32)</f>
        <v>1</v>
      </c>
      <c r="K48" s="27">
        <f>IF(data_export!C32=0, "", data_export!C32)</f>
        <v>1.1259E-3</v>
      </c>
      <c r="M48" s="27">
        <f>IF(data_export!D32=0, "", data_export!D32)</f>
        <v>4.07E-6</v>
      </c>
      <c r="N48" s="27">
        <f>IF(data_export!E32=0, "", data_export!E32)</f>
        <v>1.8782E-3</v>
      </c>
      <c r="O48" s="27">
        <f>IF(data_export!F32=0, "", data_export!F32)</f>
        <v>-8.897E-4</v>
      </c>
      <c r="P48" s="27">
        <f>IF(data_export!G32=0, "", data_export!G32)</f>
        <v>1.0021180000000001</v>
      </c>
      <c r="R48" s="27">
        <f>IF(data_export!H32=0, "", data_export!H32)</f>
        <v>5.1159999999999997E-4</v>
      </c>
      <c r="S48" s="27">
        <f>IF(data_export!I32=0, "", data_export!I32)</f>
        <v>1.0005120000000001</v>
      </c>
      <c r="T48" s="27">
        <f>IF(data_export!J32=0, "", data_export!J32)</f>
        <v>1.001606</v>
      </c>
    </row>
    <row r="49" spans="6:23" ht="10.199999999999999" customHeight="1" x14ac:dyDescent="0.3"/>
    <row r="50" spans="6:23" s="23" customFormat="1" ht="29.4" thickBot="1" x14ac:dyDescent="0.35">
      <c r="F50" s="19"/>
      <c r="G50" s="20" t="str">
        <f>data_export!A33</f>
        <v>Weatherization</v>
      </c>
      <c r="H50" s="21"/>
      <c r="I50" s="21"/>
      <c r="J50" s="22">
        <f>IF(data_export!B33=0, "", data_export!B33)</f>
        <v>0.77409689999999998</v>
      </c>
      <c r="K50" s="22">
        <f>IF(data_export!C33=0, "", data_export!C33)</f>
        <v>0.26917140000000001</v>
      </c>
      <c r="L50" s="22"/>
      <c r="M50" s="22" t="str">
        <f>IF(data_export!D33=0, "", data_export!D33)</f>
        <v/>
      </c>
      <c r="N50" s="22" t="str">
        <f>IF(data_export!E33=0, "", data_export!E33)</f>
        <v/>
      </c>
      <c r="O50" s="22">
        <f>IF(data_export!F33=0, "", data_export!F33)</f>
        <v>-5.4134700000000001E-2</v>
      </c>
      <c r="P50" s="22">
        <f>IF(data_export!G33=0, "", data_export!G33)</f>
        <v>0.9891335</v>
      </c>
      <c r="Q50" s="22"/>
      <c r="R50" s="22">
        <f>IF(data_export!H33=0, "", data_export!H33)</f>
        <v>1.1765400000000001E-2</v>
      </c>
      <c r="S50" s="22">
        <f>IF(data_export!I33=0, "", data_export!I33)</f>
        <v>1.011765</v>
      </c>
      <c r="T50" s="22">
        <f>IF(data_export!J33=0, "", data_export!J33)</f>
        <v>0.97763129999999998</v>
      </c>
      <c r="U50" s="21"/>
      <c r="V50" s="19"/>
    </row>
    <row r="51" spans="6:23" x14ac:dyDescent="0.3">
      <c r="H51" s="26" t="str">
        <f>data_export!A34</f>
        <v>EPP</v>
      </c>
      <c r="I51" s="26"/>
      <c r="J51" s="27">
        <f>IF(data_export!B34=0, "", data_export!B34)</f>
        <v>0.75000009999999995</v>
      </c>
      <c r="K51" s="27">
        <f>IF(data_export!C34=0, "", data_export!C34)</f>
        <v>0.5441011</v>
      </c>
      <c r="M51" s="27" t="str">
        <f>IF(data_export!D34=0, "", data_export!D34)</f>
        <v/>
      </c>
      <c r="N51" s="27" t="str">
        <f>IF(data_export!E34=0, "", data_export!E34)</f>
        <v/>
      </c>
      <c r="O51" s="27">
        <f>IF(data_export!F34=0, "", data_export!F34)</f>
        <v>-5.7457800000000003E-2</v>
      </c>
      <c r="P51" s="27">
        <f>IF(data_export!G34=0, "", data_export!G34)</f>
        <v>1.2366429999999999</v>
      </c>
      <c r="R51" s="27">
        <f>IF(data_export!H34=0, "", data_export!H34)</f>
        <v>2.1893699999999999E-2</v>
      </c>
      <c r="S51" s="27">
        <f>IF(data_export!I34=0, "", data_export!I34)</f>
        <v>1.0218940000000001</v>
      </c>
      <c r="T51" s="27">
        <f>IF(data_export!J34=0, "", data_export!J34)</f>
        <v>1.2101489999999999</v>
      </c>
    </row>
    <row r="52" spans="6:23" x14ac:dyDescent="0.3">
      <c r="H52" s="26" t="str">
        <f>data_export!A35</f>
        <v>IHWAP</v>
      </c>
      <c r="I52" s="26"/>
      <c r="J52" s="27">
        <f>IF(data_export!B35=0, "", data_export!B35)</f>
        <v>0.75</v>
      </c>
      <c r="K52" s="27">
        <f>IF(data_export!C35=0, "", data_export!C35)</f>
        <v>0.3591664</v>
      </c>
      <c r="M52" s="27" t="str">
        <f>IF(data_export!D35=0, "", data_export!D35)</f>
        <v/>
      </c>
      <c r="N52" s="27" t="str">
        <f>IF(data_export!E35=0, "", data_export!E35)</f>
        <v/>
      </c>
      <c r="O52" s="27">
        <f>IF(data_export!F35=0, "", data_export!F35)</f>
        <v>-0.1105859</v>
      </c>
      <c r="P52" s="27">
        <f>IF(data_export!G35=0, "", data_export!G35)</f>
        <v>0.99858049999999998</v>
      </c>
      <c r="R52" s="27">
        <f>IF(data_export!H35=0, "", data_export!H35)</f>
        <v>1.87697E-2</v>
      </c>
      <c r="S52" s="27">
        <f>IF(data_export!I35=0, "", data_export!I35)</f>
        <v>1.01877</v>
      </c>
      <c r="T52" s="27">
        <f>IF(data_export!J35=0, "", data_export!J35)</f>
        <v>0.98018269999999996</v>
      </c>
    </row>
    <row r="53" spans="6:23" x14ac:dyDescent="0.3">
      <c r="H53" s="26" t="str">
        <f>data_export!A36</f>
        <v>WI RF</v>
      </c>
      <c r="I53" s="26"/>
      <c r="J53" s="27">
        <f>IF(data_export!B36=0, "", data_export!B36)</f>
        <v>0.87048460000000005</v>
      </c>
      <c r="K53" s="27">
        <f>IF(data_export!C36=0, "", data_export!C36)</f>
        <v>5.0162100000000001E-2</v>
      </c>
      <c r="M53" s="27" t="str">
        <f>IF(data_export!D36=0, "", data_export!D36)</f>
        <v/>
      </c>
      <c r="N53" s="27" t="str">
        <f>IF(data_export!E36=0, "", data_export!E36)</f>
        <v/>
      </c>
      <c r="O53" s="27">
        <f>IF(data_export!F36=0, "", data_export!F36)</f>
        <v>-1.0531E-3</v>
      </c>
      <c r="P53" s="27">
        <f>IF(data_export!G36=0, "", data_export!G36)</f>
        <v>0.91959369999999996</v>
      </c>
      <c r="R53" s="27">
        <f>IF(data_export!H36=0, "", data_export!H36)</f>
        <v>-2.387E-4</v>
      </c>
      <c r="S53" s="27">
        <f>IF(data_export!I36=0, "", data_export!I36)</f>
        <v>0.99976129999999996</v>
      </c>
      <c r="T53" s="27">
        <f>IF(data_export!J36=0, "", data_export!J36)</f>
        <v>0.9198132</v>
      </c>
    </row>
    <row r="54" spans="6:23" s="23" customFormat="1" x14ac:dyDescent="0.3">
      <c r="F54" s="19"/>
      <c r="G54" s="37"/>
      <c r="H54" s="26" t="str">
        <f>data_export!A37</f>
        <v>WAP</v>
      </c>
      <c r="I54" s="26"/>
      <c r="J54" s="27">
        <f>IF(data_export!B37=0, "", data_export!B37)</f>
        <v>0.75000009999999995</v>
      </c>
      <c r="K54" s="27">
        <f>IF(data_export!C37=0, "", data_export!C37)</f>
        <v>0.26548650000000001</v>
      </c>
      <c r="L54" s="27"/>
      <c r="M54" s="27" t="str">
        <f>IF(data_export!D37=0, "", data_export!D37)</f>
        <v/>
      </c>
      <c r="N54" s="27" t="str">
        <f>IF(data_export!E37=0, "", data_export!E37)</f>
        <v/>
      </c>
      <c r="O54" s="27">
        <f>IF(data_export!F37=0, "", data_export!F37)</f>
        <v>-8.8171799999999995E-2</v>
      </c>
      <c r="P54" s="27">
        <f>IF(data_export!G37=0, "", data_export!G37)</f>
        <v>0.92731479999999999</v>
      </c>
      <c r="Q54" s="27"/>
      <c r="R54" s="27">
        <f>IF(data_export!H37=0, "", data_export!H37)</f>
        <v>1.32946E-2</v>
      </c>
      <c r="S54" s="27">
        <f>IF(data_export!I37=0, "", data_export!I37)</f>
        <v>1.0132950000000001</v>
      </c>
      <c r="T54" s="27">
        <f>IF(data_export!J37=0, "", data_export!J37)</f>
        <v>0.91514830000000003</v>
      </c>
      <c r="U54" s="25"/>
      <c r="V54" s="19"/>
    </row>
    <row r="55" spans="6:23" x14ac:dyDescent="0.3">
      <c r="H55" s="26" t="str">
        <f>data_export!A38</f>
        <v>LEEP+</v>
      </c>
      <c r="I55" s="26"/>
      <c r="J55" s="27">
        <f>IF(data_export!B38=0, "", data_export!B38)</f>
        <v>0.74999990000000005</v>
      </c>
      <c r="K55" s="27">
        <f>IF(data_export!C38=0, "", data_export!C38)</f>
        <v>0.12694069999999999</v>
      </c>
      <c r="M55" s="27" t="str">
        <f>IF(data_export!D38=0, "", data_export!D38)</f>
        <v/>
      </c>
      <c r="N55" s="27" t="str">
        <f>IF(data_export!E38=0, "", data_export!E38)</f>
        <v/>
      </c>
      <c r="O55" s="27">
        <f>IF(data_export!F38=0, "", data_export!F38)</f>
        <v>-1.34051E-2</v>
      </c>
      <c r="P55" s="27">
        <f>IF(data_export!G38=0, "", data_export!G38)</f>
        <v>0.86353559999999996</v>
      </c>
      <c r="R55" s="27">
        <f>IF(data_export!H38=0, "", data_export!H38)</f>
        <v>5.1079000000000003E-3</v>
      </c>
      <c r="S55" s="27">
        <f>IF(data_export!I38=0, "", data_export!I38)</f>
        <v>1.0051079999999999</v>
      </c>
      <c r="T55" s="27">
        <f>IF(data_export!J38=0, "", data_export!J38)</f>
        <v>0.8591472</v>
      </c>
    </row>
    <row r="56" spans="6:23" ht="10.199999999999999" customHeight="1" x14ac:dyDescent="0.3"/>
    <row r="57" spans="6:23" ht="29.4" thickBot="1" x14ac:dyDescent="0.35">
      <c r="F57" s="37"/>
      <c r="G57" s="21" t="str">
        <f>data_export!A39</f>
        <v>Other Subsidies</v>
      </c>
      <c r="H57" s="21"/>
      <c r="I57" s="21"/>
      <c r="J57" s="22">
        <f>IF(data_export!B39=0, "", data_export!B39)</f>
        <v>0.88749</v>
      </c>
      <c r="K57" s="22">
        <f>IF(data_export!C39=0, "", data_export!C39)</f>
        <v>1.694998</v>
      </c>
      <c r="L57" s="22"/>
      <c r="M57" s="22" t="str">
        <f>IF(data_export!D39=0, "", data_export!D39)</f>
        <v/>
      </c>
      <c r="N57" s="22" t="str">
        <f>IF(data_export!E39=0, "", data_export!E39)</f>
        <v/>
      </c>
      <c r="O57" s="22">
        <f>IF(data_export!F39=0, "", data_export!F39)</f>
        <v>-6.5373100000000003E-2</v>
      </c>
      <c r="P57" s="22">
        <f>IF(data_export!G39=0, "", data_export!G39)</f>
        <v>2.517115</v>
      </c>
      <c r="Q57" s="22"/>
      <c r="R57" s="22">
        <f>IF(data_export!H39=0, "", data_export!H39)</f>
        <v>1.01288E-2</v>
      </c>
      <c r="S57" s="22">
        <f>IF(data_export!I39=0, "", data_export!I39)</f>
        <v>1.0101290000000001</v>
      </c>
      <c r="T57" s="22">
        <f>IF(data_export!J39=0, "", data_export!J39)</f>
        <v>2.4918749999999998</v>
      </c>
      <c r="U57" s="21"/>
      <c r="V57" s="19"/>
    </row>
    <row r="58" spans="6:23" x14ac:dyDescent="0.3">
      <c r="H58" s="26" t="str">
        <f>data_export!A40</f>
        <v>CA 20/20</v>
      </c>
      <c r="I58" s="26"/>
      <c r="J58" s="27">
        <f>IF(data_export!B40=0, "", data_export!B40)</f>
        <v>0.88212290000000004</v>
      </c>
      <c r="K58" s="27">
        <f>IF(data_export!C40=0, "", data_export!C40)</f>
        <v>1.9194020000000001</v>
      </c>
      <c r="M58" s="27" t="str">
        <f>IF(data_export!D40=0, "", data_export!D40)</f>
        <v/>
      </c>
      <c r="N58" s="27" t="str">
        <f>IF(data_export!E40=0, "", data_export!E40)</f>
        <v/>
      </c>
      <c r="O58" s="27">
        <f>IF(data_export!F40=0, "", data_export!F40)</f>
        <v>-0.13074620000000001</v>
      </c>
      <c r="P58" s="27">
        <f>IF(data_export!G40=0, "", data_export!G40)</f>
        <v>2.670779</v>
      </c>
      <c r="R58" s="27">
        <f>IF(data_export!H40=0, "", data_export!H40)</f>
        <v>3.8204599999999998E-2</v>
      </c>
      <c r="S58" s="27">
        <f>IF(data_export!I40=0, "", data_export!I40)</f>
        <v>1.038205</v>
      </c>
      <c r="T58" s="27">
        <f>IF(data_export!J40=0, "", data_export!J40)</f>
        <v>2.572498</v>
      </c>
    </row>
    <row r="59" spans="6:23" s="23" customFormat="1" x14ac:dyDescent="0.3">
      <c r="F59" s="19"/>
      <c r="G59" s="37"/>
      <c r="H59" s="26" t="str">
        <f>data_export!A41</f>
        <v>CRP</v>
      </c>
      <c r="I59" s="26"/>
      <c r="J59" s="27">
        <f>IF(data_export!B41=0, "", data_export!B41)</f>
        <v>0.89285709999999996</v>
      </c>
      <c r="K59" s="27">
        <f>IF(data_export!C41=0, "", data_export!C41)</f>
        <v>1.470593</v>
      </c>
      <c r="L59" s="27"/>
      <c r="M59" s="27" t="str">
        <f>IF(data_export!D41=0, "", data_export!D41)</f>
        <v/>
      </c>
      <c r="N59" s="27" t="str">
        <f>IF(data_export!E41=0, "", data_export!E41)</f>
        <v/>
      </c>
      <c r="O59" s="27" t="str">
        <f>IF(data_export!F41=0, "", data_export!F41)</f>
        <v/>
      </c>
      <c r="P59" s="27">
        <f>IF(data_export!G41=0, "", data_export!G41)</f>
        <v>2.3634499999999998</v>
      </c>
      <c r="Q59" s="27"/>
      <c r="R59" s="27">
        <f>IF(data_export!H41=0, "", data_export!H41)</f>
        <v>-1.7947000000000001E-2</v>
      </c>
      <c r="S59" s="27">
        <f>IF(data_export!I41=0, "", data_export!I41)</f>
        <v>0.98205299999999995</v>
      </c>
      <c r="T59" s="27">
        <f>IF(data_export!J41=0, "", data_export!J41)</f>
        <v>2.4066420000000002</v>
      </c>
      <c r="U59" s="25"/>
      <c r="V59" s="19"/>
    </row>
    <row r="60" spans="6:23" ht="10.199999999999999" customHeight="1" x14ac:dyDescent="0.3"/>
    <row r="61" spans="6:23" ht="29.4" thickBot="1" x14ac:dyDescent="0.35">
      <c r="F61" s="19" t="s">
        <v>1</v>
      </c>
      <c r="G61" s="19"/>
      <c r="H61" s="19"/>
      <c r="I61" s="1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4"/>
      <c r="W61" s="24"/>
    </row>
    <row r="62" spans="6:23" ht="10.199999999999999" customHeight="1" thickTop="1" x14ac:dyDescent="0.3">
      <c r="F62" s="30"/>
      <c r="G62" s="30"/>
      <c r="H62" s="30"/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0"/>
      <c r="V62" s="30"/>
    </row>
    <row r="63" spans="6:23" ht="29.4" thickBot="1" x14ac:dyDescent="0.35">
      <c r="F63" s="19"/>
      <c r="G63" s="20" t="str">
        <f>data_export!A42</f>
        <v>Home Energy Reports</v>
      </c>
      <c r="H63" s="21"/>
      <c r="I63" s="21"/>
      <c r="J63" s="22" t="str">
        <f>IF(data_export!B42=0, "", data_export!B42)</f>
        <v/>
      </c>
      <c r="K63" s="22">
        <f>IF(data_export!C42=0, "", data_export!C42)</f>
        <v>1.8760760000000001</v>
      </c>
      <c r="L63" s="22"/>
      <c r="M63" s="22" t="str">
        <f>IF(data_export!D42=0, "", data_export!D42)</f>
        <v/>
      </c>
      <c r="N63" s="22" t="str">
        <f>IF(data_export!E42=0, "", data_export!E42)</f>
        <v/>
      </c>
      <c r="O63" s="22">
        <f>IF(data_export!F42=0, "", data_export!F42)</f>
        <v>-3.0173800000000001E-2</v>
      </c>
      <c r="P63" s="22">
        <f>IF(data_export!G42=0, "", data_export!G42)</f>
        <v>1.8459019999999999</v>
      </c>
      <c r="Q63" s="22"/>
      <c r="R63" s="22">
        <f>IF(data_export!H42=0, "", data_export!H42)</f>
        <v>-5.1017E-2</v>
      </c>
      <c r="S63" s="22">
        <f>IF(data_export!I42=0, "", data_export!I42)</f>
        <v>0.94898300000000002</v>
      </c>
      <c r="T63" s="22">
        <f>IF(data_export!J42=0, "", data_export!J42)</f>
        <v>1.9451369999999999</v>
      </c>
      <c r="U63" s="21"/>
      <c r="V63" s="28"/>
    </row>
    <row r="64" spans="6:23" x14ac:dyDescent="0.3">
      <c r="H64" s="26" t="str">
        <f>data_export!A43</f>
        <v>HER (17 RCTs)</v>
      </c>
      <c r="I64" s="26"/>
      <c r="J64" s="27" t="str">
        <f>IF(data_export!B43=0, "", data_export!B43)</f>
        <v/>
      </c>
      <c r="K64" s="27">
        <f>IF(data_export!C43=0, "", data_export!C43)</f>
        <v>3.4663870000000001</v>
      </c>
      <c r="M64" s="27" t="str">
        <f>IF(data_export!D43=0, "", data_export!D43)</f>
        <v/>
      </c>
      <c r="N64" s="27" t="str">
        <f>IF(data_export!E43=0, "", data_export!E43)</f>
        <v/>
      </c>
      <c r="O64" s="27">
        <f>IF(data_export!F43=0, "", data_export!F43)</f>
        <v>-0.24427740000000001</v>
      </c>
      <c r="P64" s="27">
        <f>IF(data_export!G43=0, "", data_export!G43)</f>
        <v>3.2221099999999998</v>
      </c>
      <c r="R64" s="27">
        <f>IF(data_export!H43=0, "", data_export!H43)</f>
        <v>7.1891999999999998E-2</v>
      </c>
      <c r="S64" s="27">
        <f>IF(data_export!I43=0, "", data_export!I43)</f>
        <v>1.0718920000000001</v>
      </c>
      <c r="T64" s="27">
        <f>IF(data_export!J43=0, "", data_export!J43)</f>
        <v>3.0060020000000001</v>
      </c>
    </row>
    <row r="65" spans="6:23" x14ac:dyDescent="0.3">
      <c r="H65" s="26" t="str">
        <f>data_export!A44</f>
        <v>Opower Elec. (166 RCTs)</v>
      </c>
      <c r="I65" s="26"/>
      <c r="J65" s="27" t="str">
        <f>IF(data_export!B44=0, "", data_export!B44)</f>
        <v/>
      </c>
      <c r="K65" s="27">
        <f>IF(data_export!C44=0, "", data_export!C44)</f>
        <v>2.906034</v>
      </c>
      <c r="M65" s="27" t="str">
        <f>IF(data_export!D44=0, "", data_export!D44)</f>
        <v/>
      </c>
      <c r="N65" s="27" t="str">
        <f>IF(data_export!E44=0, "", data_export!E44)</f>
        <v/>
      </c>
      <c r="O65" s="27">
        <f>IF(data_export!F44=0, "", data_export!F44)</f>
        <v>-0.2047891</v>
      </c>
      <c r="P65" s="27">
        <f>IF(data_export!G44=0, "", data_export!G44)</f>
        <v>2.7012450000000001</v>
      </c>
      <c r="R65" s="27">
        <f>IF(data_export!H44=0, "", data_export!H44)</f>
        <v>6.0270400000000002E-2</v>
      </c>
      <c r="S65" s="27">
        <f>IF(data_export!I44=0, "", data_export!I44)</f>
        <v>1.06027</v>
      </c>
      <c r="T65" s="27">
        <f>IF(data_export!J44=0, "", data_export!J44)</f>
        <v>2.5476939999999999</v>
      </c>
    </row>
    <row r="66" spans="6:23" x14ac:dyDescent="0.3">
      <c r="H66" s="26" t="str">
        <f>data_export!A45</f>
        <v>PER</v>
      </c>
      <c r="I66" s="26"/>
      <c r="J66" s="27" t="str">
        <f>IF(data_export!B45=0, "", data_export!B45)</f>
        <v/>
      </c>
      <c r="K66" s="27">
        <f>IF(data_export!C45=0, "", data_export!C45)</f>
        <v>0.29357260000000002</v>
      </c>
      <c r="M66" s="27" t="str">
        <f>IF(data_export!D45=0, "", data_export!D45)</f>
        <v/>
      </c>
      <c r="N66" s="27" t="str">
        <f>IF(data_export!E45=0, "", data_export!E45)</f>
        <v/>
      </c>
      <c r="O66" s="27">
        <f>IF(data_export!F45=0, "", data_export!F45)</f>
        <v>0.69504319999999997</v>
      </c>
      <c r="P66" s="27">
        <f>IF(data_export!G45=0, "", data_export!G45)</f>
        <v>0.98861580000000004</v>
      </c>
      <c r="R66" s="27">
        <f>IF(data_export!H45=0, "", data_export!H45)</f>
        <v>-0.38204300000000002</v>
      </c>
      <c r="S66" s="27">
        <f>IF(data_export!I45=0, "", data_export!I45)</f>
        <v>0.61795699999999998</v>
      </c>
      <c r="T66" s="27">
        <f>IF(data_export!J45=0, "", data_export!J45)</f>
        <v>1.5998129999999999</v>
      </c>
    </row>
    <row r="67" spans="6:23" x14ac:dyDescent="0.3">
      <c r="H67" s="26" t="str">
        <f>data_export!A46</f>
        <v>Opower Nat. Gas (52 RCTs)</v>
      </c>
      <c r="I67" s="26"/>
      <c r="J67" s="27" t="str">
        <f>IF(data_export!B46=0, "", data_export!B46)</f>
        <v/>
      </c>
      <c r="K67" s="27">
        <f>IF(data_export!C46=0, "", data_export!C46)</f>
        <v>0.83831100000000003</v>
      </c>
      <c r="M67" s="27" t="str">
        <f>IF(data_export!D46=0, "", data_export!D46)</f>
        <v/>
      </c>
      <c r="N67" s="27" t="str">
        <f>IF(data_export!E46=0, "", data_export!E46)</f>
        <v/>
      </c>
      <c r="O67" s="27">
        <f>IF(data_export!F46=0, "", data_export!F46)</f>
        <v>-0.3666719</v>
      </c>
      <c r="P67" s="27">
        <f>IF(data_export!G46=0, "", data_export!G46)</f>
        <v>0.47163909999999998</v>
      </c>
      <c r="R67" s="27">
        <f>IF(data_export!H46=0, "", data_export!H46)</f>
        <v>4.5812699999999998E-2</v>
      </c>
      <c r="S67" s="27">
        <f>IF(data_export!I46=0, "", data_export!I46)</f>
        <v>1.0458130000000001</v>
      </c>
      <c r="T67" s="27">
        <f>IF(data_export!J46=0, "", data_export!J46)</f>
        <v>0.4509785</v>
      </c>
    </row>
    <row r="68" spans="6:23" ht="10.199999999999999" customHeight="1" x14ac:dyDescent="0.3"/>
    <row r="69" spans="6:23" s="23" customFormat="1" ht="29.4" thickBot="1" x14ac:dyDescent="0.35">
      <c r="F69" s="19"/>
      <c r="G69" s="20" t="str">
        <f>data_export!A47</f>
        <v>Other Nudges</v>
      </c>
      <c r="H69" s="21"/>
      <c r="I69" s="21"/>
      <c r="J69" s="22">
        <f>IF(data_export!B47=0, "", data_export!B47)</f>
        <v>0.50691339999999996</v>
      </c>
      <c r="K69" s="22">
        <f>IF(data_export!C47=0, "", data_export!C47)</f>
        <v>4.3505180000000001</v>
      </c>
      <c r="L69" s="22"/>
      <c r="M69" s="22" t="str">
        <f>IF(data_export!D47=0, "", data_export!D47)</f>
        <v/>
      </c>
      <c r="N69" s="22" t="str">
        <f>IF(data_export!E47=0, "", data_export!E47)</f>
        <v/>
      </c>
      <c r="O69" s="22">
        <f>IF(data_export!F47=0, "", data_export!F47)</f>
        <v>-0.65891980000000006</v>
      </c>
      <c r="P69" s="22">
        <f>IF(data_export!G47=0, "", data_export!G47)</f>
        <v>4.1985109999999999</v>
      </c>
      <c r="Q69" s="22"/>
      <c r="R69" s="22">
        <f>IF(data_export!H47=0, "", data_export!H47)</f>
        <v>2.1667380000000001</v>
      </c>
      <c r="S69" s="22">
        <f>IF(data_export!I47=0, "", data_export!I47)</f>
        <v>3.1667380000000001</v>
      </c>
      <c r="T69" s="22">
        <f>IF(data_export!J47=0, "", data_export!J47)</f>
        <v>1.3258160000000001</v>
      </c>
      <c r="U69" s="21"/>
      <c r="V69" s="19"/>
    </row>
    <row r="70" spans="6:23" x14ac:dyDescent="0.3">
      <c r="H70" s="26" t="str">
        <f>data_export!A48</f>
        <v>Audit Nudge</v>
      </c>
      <c r="I70" s="26"/>
      <c r="J70" s="27" t="str">
        <f>IF(data_export!B48=0, "", data_export!B48)</f>
        <v/>
      </c>
      <c r="K70" s="27">
        <f>IF(data_export!C48=0, "", data_export!C48)</f>
        <v>8.049906</v>
      </c>
      <c r="M70" s="27" t="str">
        <f>IF(data_export!D48=0, "", data_export!D48)</f>
        <v/>
      </c>
      <c r="N70" s="27" t="str">
        <f>IF(data_export!E48=0, "", data_export!E48)</f>
        <v/>
      </c>
      <c r="O70" s="27">
        <f>IF(data_export!F48=0, "", data_export!F48)</f>
        <v>-0.54240739999999998</v>
      </c>
      <c r="P70" s="27">
        <f>IF(data_export!G48=0, "", data_export!G48)</f>
        <v>7.507498</v>
      </c>
      <c r="R70" s="27">
        <f>IF(data_export!H48=0, "", data_export!H48)</f>
        <v>2.546548</v>
      </c>
      <c r="S70" s="27">
        <f>IF(data_export!I48=0, "", data_export!I48)</f>
        <v>3.546548</v>
      </c>
      <c r="T70" s="27">
        <f>IF(data_export!J48=0, "", data_export!J48)</f>
        <v>2.1168469999999999</v>
      </c>
    </row>
    <row r="71" spans="6:23" x14ac:dyDescent="0.3">
      <c r="H71" s="26" t="str">
        <f>data_export!A49</f>
        <v>Solarize</v>
      </c>
      <c r="I71" s="26"/>
      <c r="J71" s="27">
        <f>IF(data_export!B49=0, "", data_export!B49)</f>
        <v>1.1445080000000001</v>
      </c>
      <c r="K71" s="27">
        <f>IF(data_export!C49=0, "", data_export!C49)</f>
        <v>13.524039999999999</v>
      </c>
      <c r="M71" s="27" t="str">
        <f>IF(data_export!D49=0, "", data_export!D49)</f>
        <v/>
      </c>
      <c r="N71" s="27" t="str">
        <f>IF(data_export!E49=0, "", data_export!E49)</f>
        <v/>
      </c>
      <c r="O71" s="27">
        <f>IF(data_export!F49=0, "", data_export!F49)</f>
        <v>-1.8443529999999999</v>
      </c>
      <c r="P71" s="27">
        <f>IF(data_export!G49=0, "", data_export!G49)</f>
        <v>12.824199999999999</v>
      </c>
      <c r="R71" s="27">
        <f>IF(data_export!H49=0, "", data_export!H49)</f>
        <v>6.0909370000000003</v>
      </c>
      <c r="S71" s="27">
        <f>IF(data_export!I49=0, "", data_export!I49)</f>
        <v>7.0909370000000003</v>
      </c>
      <c r="T71" s="27">
        <f>IF(data_export!J49=0, "", data_export!J49)</f>
        <v>1.8085340000000001</v>
      </c>
    </row>
    <row r="72" spans="6:23" x14ac:dyDescent="0.3">
      <c r="F72" s="19"/>
      <c r="G72" s="19"/>
      <c r="H72" s="25" t="str">
        <f>data_export!A50</f>
        <v>ES (WH) + Nudge</v>
      </c>
      <c r="I72" s="26"/>
      <c r="J72" s="27">
        <f>IF(data_export!B50=0, "", data_export!B50)</f>
        <v>0.41578949999999998</v>
      </c>
      <c r="K72" s="27">
        <f>IF(data_export!C50=0, "", data_export!C50)</f>
        <v>1.4386540000000001</v>
      </c>
      <c r="M72" s="27" t="str">
        <f>IF(data_export!D50=0, "", data_export!D50)</f>
        <v/>
      </c>
      <c r="N72" s="27" t="str">
        <f>IF(data_export!E50=0, "", data_export!E50)</f>
        <v/>
      </c>
      <c r="O72" s="27">
        <f>IF(data_export!F50=0, "", data_export!F50)</f>
        <v>-0.62925830000000005</v>
      </c>
      <c r="P72" s="27">
        <f>IF(data_export!G50=0, "", data_export!G50)</f>
        <v>1.2251860000000001</v>
      </c>
      <c r="R72" s="27">
        <f>IF(data_export!H50=0, "", data_export!H50)</f>
        <v>7.4874599999999999E-2</v>
      </c>
      <c r="S72" s="27">
        <f>IF(data_export!I50=0, "", data_export!I50)</f>
        <v>1.074875</v>
      </c>
      <c r="T72" s="27">
        <f>IF(data_export!J50=0, "", data_export!J50)</f>
        <v>1.13984</v>
      </c>
      <c r="U72" s="27"/>
      <c r="V72" s="19"/>
    </row>
    <row r="73" spans="6:23" x14ac:dyDescent="0.3">
      <c r="H73" s="26" t="str">
        <f>data_export!A51</f>
        <v>IHWAP + Nudge (H)</v>
      </c>
      <c r="I73" s="26"/>
      <c r="J73" s="27">
        <f>IF(data_export!B51=0, "", data_export!B51)</f>
        <v>0.73860440000000005</v>
      </c>
      <c r="K73" s="27">
        <f>IF(data_export!C51=0, "", data_export!C51)</f>
        <v>0.4515422</v>
      </c>
      <c r="M73" s="27" t="str">
        <f>IF(data_export!D51=0, "", data_export!D51)</f>
        <v/>
      </c>
      <c r="N73" s="27" t="str">
        <f>IF(data_export!E51=0, "", data_export!E51)</f>
        <v/>
      </c>
      <c r="O73" s="27">
        <f>IF(data_export!F51=0, "", data_export!F51)</f>
        <v>-0.1046995</v>
      </c>
      <c r="P73" s="27">
        <f>IF(data_export!G51=0, "", data_export!G51)</f>
        <v>1.0854470000000001</v>
      </c>
      <c r="R73" s="27">
        <f>IF(data_export!H51=0, "", data_export!H51)</f>
        <v>1.49803E-2</v>
      </c>
      <c r="S73" s="27">
        <f>IF(data_export!I51=0, "", data_export!I51)</f>
        <v>1.01498</v>
      </c>
      <c r="T73" s="27">
        <f>IF(data_export!J51=0, "", data_export!J51)</f>
        <v>1.0694269999999999</v>
      </c>
    </row>
    <row r="74" spans="6:23" x14ac:dyDescent="0.3">
      <c r="H74" s="26" t="str">
        <f>data_export!A52</f>
        <v>IHWAP + Nudge (L)</v>
      </c>
      <c r="I74" s="26"/>
      <c r="J74" s="27">
        <f>IF(data_export!B52=0, "", data_export!B52)</f>
        <v>0.74257859999999998</v>
      </c>
      <c r="K74" s="27">
        <f>IF(data_export!C52=0, "", data_export!C52)</f>
        <v>0.43616149999999998</v>
      </c>
      <c r="M74" s="27" t="str">
        <f>IF(data_export!D52=0, "", data_export!D52)</f>
        <v/>
      </c>
      <c r="N74" s="27" t="str">
        <f>IF(data_export!E52=0, "", data_export!E52)</f>
        <v/>
      </c>
      <c r="O74" s="27">
        <f>IF(data_export!F52=0, "", data_export!F52)</f>
        <v>-0.1012194</v>
      </c>
      <c r="P74" s="27">
        <f>IF(data_export!G52=0, "", data_export!G52)</f>
        <v>1.077521</v>
      </c>
      <c r="R74" s="27">
        <f>IF(data_export!H52=0, "", data_export!H52)</f>
        <v>1.4169299999999999E-2</v>
      </c>
      <c r="S74" s="27">
        <f>IF(data_export!I52=0, "", data_export!I52)</f>
        <v>1.0141690000000001</v>
      </c>
      <c r="T74" s="27">
        <f>IF(data_export!J52=0, "", data_export!J52)</f>
        <v>1.0624659999999999</v>
      </c>
    </row>
    <row r="75" spans="6:23" x14ac:dyDescent="0.3">
      <c r="H75" s="26" t="str">
        <f>data_export!A53</f>
        <v>WAP + Nudge</v>
      </c>
      <c r="I75" s="26"/>
      <c r="J75" s="27" t="str">
        <f>IF(data_export!B53=0, "", data_export!B53)</f>
        <v/>
      </c>
      <c r="K75" s="27">
        <f>IF(data_export!C53=0, "", data_export!C53)</f>
        <v>2.202801</v>
      </c>
      <c r="M75" s="27" t="str">
        <f>IF(data_export!D53=0, "", data_export!D53)</f>
        <v/>
      </c>
      <c r="N75" s="27" t="str">
        <f>IF(data_export!E53=0, "", data_export!E53)</f>
        <v/>
      </c>
      <c r="O75" s="27">
        <f>IF(data_export!F53=0, "", data_export!F53)</f>
        <v>-0.73158060000000003</v>
      </c>
      <c r="P75" s="27">
        <f>IF(data_export!G53=0, "", data_export!G53)</f>
        <v>1.47122</v>
      </c>
      <c r="R75" s="27">
        <f>IF(data_export!H53=0, "", data_export!H53)</f>
        <v>4.2589189999999997</v>
      </c>
      <c r="S75" s="27">
        <f>IF(data_export!I53=0, "", data_export!I53)</f>
        <v>5.2589189999999997</v>
      </c>
      <c r="T75" s="27">
        <f>IF(data_export!J53=0, "", data_export!J53)</f>
        <v>0.27975709999999998</v>
      </c>
    </row>
    <row r="76" spans="6:23" ht="10.199999999999999" customHeight="1" x14ac:dyDescent="0.3"/>
    <row r="77" spans="6:23" ht="29.4" thickBot="1" x14ac:dyDescent="0.35">
      <c r="F77" s="19" t="s">
        <v>2</v>
      </c>
      <c r="G77" s="19"/>
      <c r="H77" s="19"/>
      <c r="I77" s="1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4"/>
      <c r="W77" s="24"/>
    </row>
    <row r="78" spans="6:23" ht="10.199999999999999" customHeight="1" thickTop="1" x14ac:dyDescent="0.3">
      <c r="F78" s="30"/>
      <c r="G78" s="30"/>
      <c r="H78" s="30"/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0"/>
      <c r="V78" s="30"/>
    </row>
    <row r="79" spans="6:23" ht="29.4" thickBot="1" x14ac:dyDescent="0.35">
      <c r="F79" s="19"/>
      <c r="G79" s="20" t="str">
        <f>data_export!A54</f>
        <v>Gasoline Taxes</v>
      </c>
      <c r="H79" s="21"/>
      <c r="I79" s="21"/>
      <c r="J79" s="22">
        <f>IF(data_export!B54=0, "", data_export!B54)</f>
        <v>1</v>
      </c>
      <c r="K79" s="22">
        <f>IF(data_export!C54=0, "", data_export!C54)</f>
        <v>-0.4325176</v>
      </c>
      <c r="L79" s="22"/>
      <c r="M79" s="22">
        <f>IF(data_export!D54=0, "", data_export!D54)</f>
        <v>-2.4489999999999999E-4</v>
      </c>
      <c r="N79" s="22">
        <f>IF(data_export!E54=0, "", data_export!E54)</f>
        <v>-1.9331000000000001E-3</v>
      </c>
      <c r="O79" s="22">
        <f>IF(data_export!F54=0, "", data_export!F54)</f>
        <v>5.9814300000000001E-2</v>
      </c>
      <c r="P79" s="22">
        <f>IF(data_export!G54=0, "", data_export!G54)</f>
        <v>0.62511859999999997</v>
      </c>
      <c r="Q79" s="22"/>
      <c r="R79" s="22">
        <f>IF(data_export!H54=0, "", data_export!H54)</f>
        <v>-6.9056300000000001E-2</v>
      </c>
      <c r="S79" s="22">
        <f>IF(data_export!I54=0, "", data_export!I54)</f>
        <v>0.93094370000000004</v>
      </c>
      <c r="T79" s="22">
        <f>IF(data_export!J54=0, "", data_export!J54)</f>
        <v>0.67148920000000001</v>
      </c>
      <c r="U79" s="21"/>
    </row>
    <row r="80" spans="6:23" s="23" customFormat="1" x14ac:dyDescent="0.3">
      <c r="F80" s="25"/>
      <c r="G80" s="26"/>
      <c r="H80" s="26" t="str">
        <f>data_export!A55</f>
        <v>Gas (DK)</v>
      </c>
      <c r="I80" s="27"/>
      <c r="J80" s="27">
        <f>IF(data_export!B55=0, "", data_export!B55)</f>
        <v>1</v>
      </c>
      <c r="K80" s="27">
        <f>IF(data_export!C55=0, "", data_export!C55)</f>
        <v>-0.70757150000000002</v>
      </c>
      <c r="L80" s="27"/>
      <c r="M80" s="27">
        <f>IF(data_export!D55=0, "", data_export!D55)</f>
        <v>-2.4489999999999999E-4</v>
      </c>
      <c r="N80" s="27">
        <f>IF(data_export!E55=0, "", data_export!E55)</f>
        <v>-1.9331000000000001E-3</v>
      </c>
      <c r="O80" s="27">
        <f>IF(data_export!F55=0, "", data_export!F55)</f>
        <v>9.7820500000000005E-2</v>
      </c>
      <c r="P80" s="27">
        <f>IF(data_export!G55=0, "", data_export!G55)</f>
        <v>0.3880709</v>
      </c>
      <c r="Q80" s="27"/>
      <c r="R80" s="27">
        <f>IF(data_export!H55=0, "", data_export!H55)</f>
        <v>-0.11282449999999999</v>
      </c>
      <c r="S80" s="27">
        <f>IF(data_export!I55=0, "", data_export!I55)</f>
        <v>0.88717550000000001</v>
      </c>
      <c r="T80" s="27">
        <f>IF(data_export!J55=0, "", data_export!J55)</f>
        <v>0.43742300000000001</v>
      </c>
      <c r="U80" s="19"/>
      <c r="V80" s="19"/>
    </row>
    <row r="81" spans="6:24" x14ac:dyDescent="0.3">
      <c r="H81" s="26" t="str">
        <f>data_export!A56</f>
        <v>Gas (Su)</v>
      </c>
      <c r="I81" s="26"/>
      <c r="J81" s="27">
        <f>IF(data_export!B56=0, "", data_export!B56)</f>
        <v>1</v>
      </c>
      <c r="K81" s="27">
        <f>IF(data_export!C56=0, "", data_export!C56)</f>
        <v>-0.61056160000000004</v>
      </c>
      <c r="M81" s="27">
        <f>IF(data_export!D56=0, "", data_export!D56)</f>
        <v>-2.4489999999999999E-4</v>
      </c>
      <c r="N81" s="27">
        <f>IF(data_export!E56=0, "", data_export!E56)</f>
        <v>-1.9331000000000001E-3</v>
      </c>
      <c r="O81" s="27">
        <f>IF(data_export!F56=0, "", data_export!F56)</f>
        <v>8.4415900000000002E-2</v>
      </c>
      <c r="P81" s="27">
        <f>IF(data_export!G56=0, "", data_export!G56)</f>
        <v>0.47167629999999999</v>
      </c>
      <c r="R81" s="27">
        <f>IF(data_export!H56=0, "", data_export!H56)</f>
        <v>-9.7387699999999994E-2</v>
      </c>
      <c r="S81" s="27">
        <f>IF(data_export!I56=0, "", data_export!I56)</f>
        <v>0.90261230000000003</v>
      </c>
      <c r="T81" s="27">
        <f>IF(data_export!J56=0, "", data_export!J56)</f>
        <v>0.52256800000000003</v>
      </c>
    </row>
    <row r="82" spans="6:24" x14ac:dyDescent="0.3">
      <c r="H82" s="26" t="str">
        <f>data_export!A57</f>
        <v>Gas (Coglianese)</v>
      </c>
      <c r="I82" s="26"/>
      <c r="J82" s="27">
        <f>IF(data_export!B57=0, "", data_export!B57)</f>
        <v>1</v>
      </c>
      <c r="K82" s="27">
        <f>IF(data_export!C57=0, "", data_export!C57)</f>
        <v>-0.56590620000000003</v>
      </c>
      <c r="M82" s="27">
        <f>IF(data_export!D57=0, "", data_export!D57)</f>
        <v>-2.4489999999999999E-4</v>
      </c>
      <c r="N82" s="27">
        <f>IF(data_export!E57=0, "", data_export!E57)</f>
        <v>-1.9331000000000001E-3</v>
      </c>
      <c r="O82" s="27">
        <f>IF(data_export!F57=0, "", data_export!F57)</f>
        <v>7.8245599999999998E-2</v>
      </c>
      <c r="P82" s="27">
        <f>IF(data_export!G57=0, "", data_export!G57)</f>
        <v>0.51016130000000004</v>
      </c>
      <c r="R82" s="27">
        <f>IF(data_export!H57=0, "", data_export!H57)</f>
        <v>-9.0281899999999998E-2</v>
      </c>
      <c r="S82" s="27">
        <f>IF(data_export!I57=0, "", data_export!I57)</f>
        <v>0.90971809999999997</v>
      </c>
      <c r="T82" s="27">
        <f>IF(data_export!J57=0, "", data_export!J57)</f>
        <v>0.56079049999999997</v>
      </c>
    </row>
    <row r="83" spans="6:24" x14ac:dyDescent="0.3">
      <c r="H83" s="26" t="str">
        <f>data_export!A58</f>
        <v>Gas (Manzan)</v>
      </c>
      <c r="I83" s="26"/>
      <c r="J83" s="27">
        <f>IF(data_export!B58=0, "", data_export!B58)</f>
        <v>1</v>
      </c>
      <c r="K83" s="27">
        <f>IF(data_export!C58=0, "", data_export!C58)</f>
        <v>-0.54588829999999999</v>
      </c>
      <c r="M83" s="27">
        <f>IF(data_export!D58=0, "", data_export!D58)</f>
        <v>-2.4489999999999999E-4</v>
      </c>
      <c r="N83" s="27">
        <f>IF(data_export!E58=0, "", data_export!E58)</f>
        <v>-1.9331000000000001E-3</v>
      </c>
      <c r="O83" s="27">
        <f>IF(data_export!F58=0, "", data_export!F58)</f>
        <v>7.5479500000000005E-2</v>
      </c>
      <c r="P83" s="27">
        <f>IF(data_export!G58=0, "", data_export!G58)</f>
        <v>0.52741320000000003</v>
      </c>
      <c r="R83" s="27">
        <f>IF(data_export!H58=0, "", data_export!H58)</f>
        <v>-8.7096499999999993E-2</v>
      </c>
      <c r="S83" s="27">
        <f>IF(data_export!I58=0, "", data_export!I58)</f>
        <v>0.91290349999999998</v>
      </c>
      <c r="T83" s="27">
        <f>IF(data_export!J58=0, "", data_export!J58)</f>
        <v>0.57773160000000001</v>
      </c>
    </row>
    <row r="84" spans="6:24" x14ac:dyDescent="0.3">
      <c r="H84" s="26" t="str">
        <f>data_export!A59</f>
        <v>Gas (Small)</v>
      </c>
      <c r="I84" s="26"/>
      <c r="J84" s="27">
        <f>IF(data_export!B59=0, "", data_export!B59)</f>
        <v>1</v>
      </c>
      <c r="K84" s="27">
        <f>IF(data_export!C59=0, "", data_export!C59)</f>
        <v>-0.51355170000000006</v>
      </c>
      <c r="M84" s="27">
        <f>IF(data_export!D59=0, "", data_export!D59)</f>
        <v>-2.4489999999999999E-4</v>
      </c>
      <c r="N84" s="27">
        <f>IF(data_export!E59=0, "", data_export!E59)</f>
        <v>-1.9331000000000001E-3</v>
      </c>
      <c r="O84" s="27">
        <f>IF(data_export!F59=0, "", data_export!F59)</f>
        <v>7.1011299999999999E-2</v>
      </c>
      <c r="P84" s="27">
        <f>IF(data_export!G59=0, "", data_export!G59)</f>
        <v>0.55528160000000004</v>
      </c>
      <c r="R84" s="27">
        <f>IF(data_export!H59=0, "", data_export!H59)</f>
        <v>-8.1950899999999993E-2</v>
      </c>
      <c r="S84" s="27">
        <f>IF(data_export!I59=0, "", data_export!I59)</f>
        <v>0.91804909999999995</v>
      </c>
      <c r="T84" s="27">
        <f>IF(data_export!J59=0, "", data_export!J59)</f>
        <v>0.60484959999999999</v>
      </c>
    </row>
    <row r="85" spans="6:24" x14ac:dyDescent="0.3">
      <c r="H85" s="26" t="str">
        <f>data_export!A60</f>
        <v>Gas (Li)</v>
      </c>
      <c r="I85" s="26"/>
      <c r="J85" s="27">
        <f>IF(data_export!B60=0, "", data_export!B60)</f>
        <v>1</v>
      </c>
      <c r="K85" s="27">
        <f>IF(data_export!C60=0, "", data_export!C60)</f>
        <v>-0.49661339999999998</v>
      </c>
      <c r="M85" s="27">
        <f>IF(data_export!D60=0, "", data_export!D60)</f>
        <v>-2.4489999999999999E-4</v>
      </c>
      <c r="N85" s="27">
        <f>IF(data_export!E60=0, "", data_export!E60)</f>
        <v>-1.9331000000000001E-3</v>
      </c>
      <c r="O85" s="27">
        <f>IF(data_export!F60=0, "", data_export!F60)</f>
        <v>6.8670900000000007E-2</v>
      </c>
      <c r="P85" s="27">
        <f>IF(data_export!G60=0, "", data_export!G60)</f>
        <v>0.56987940000000004</v>
      </c>
      <c r="R85" s="27">
        <f>IF(data_export!H60=0, "", data_export!H60)</f>
        <v>-7.9255599999999995E-2</v>
      </c>
      <c r="S85" s="27">
        <f>IF(data_export!I60=0, "", data_export!I60)</f>
        <v>0.92074440000000002</v>
      </c>
      <c r="T85" s="27">
        <f>IF(data_export!J60=0, "", data_export!J60)</f>
        <v>0.61893330000000002</v>
      </c>
    </row>
    <row r="86" spans="6:24" x14ac:dyDescent="0.3">
      <c r="H86" s="26" t="str">
        <f>data_export!A61</f>
        <v>Gas (Levin)</v>
      </c>
      <c r="I86" s="26"/>
      <c r="J86" s="27">
        <f>IF(data_export!B61=0, "", data_export!B61)</f>
        <v>1</v>
      </c>
      <c r="K86" s="27">
        <f>IF(data_export!C61=0, "", data_export!C61)</f>
        <v>-0.45349790000000001</v>
      </c>
      <c r="M86" s="27">
        <f>IF(data_export!D61=0, "", data_export!D61)</f>
        <v>-2.4489999999999999E-4</v>
      </c>
      <c r="N86" s="27">
        <f>IF(data_export!E61=0, "", data_export!E61)</f>
        <v>-1.9331000000000001E-3</v>
      </c>
      <c r="O86" s="27">
        <f>IF(data_export!F61=0, "", data_export!F61)</f>
        <v>6.27133E-2</v>
      </c>
      <c r="P86" s="27">
        <f>IF(data_export!G61=0, "", data_export!G61)</f>
        <v>0.6070373</v>
      </c>
      <c r="R86" s="27">
        <f>IF(data_export!H61=0, "", data_export!H61)</f>
        <v>-7.2394799999999995E-2</v>
      </c>
      <c r="S86" s="27">
        <f>IF(data_export!I61=0, "", data_export!I61)</f>
        <v>0.92760520000000002</v>
      </c>
      <c r="T86" s="27">
        <f>IF(data_export!J61=0, "", data_export!J61)</f>
        <v>0.65441349999999998</v>
      </c>
    </row>
    <row r="87" spans="6:24" x14ac:dyDescent="0.3">
      <c r="H87" s="26" t="str">
        <f>data_export!A62</f>
        <v>Gas (Sentenac-Chemin)</v>
      </c>
      <c r="I87" s="26"/>
      <c r="J87" s="27">
        <f>IF(data_export!B62=0, "", data_export!B62)</f>
        <v>1</v>
      </c>
      <c r="K87" s="27">
        <f>IF(data_export!C62=0, "", data_export!C62)</f>
        <v>-0.43040030000000001</v>
      </c>
      <c r="M87" s="27">
        <f>IF(data_export!D62=0, "", data_export!D62)</f>
        <v>-2.4489999999999999E-4</v>
      </c>
      <c r="N87" s="27">
        <f>IF(data_export!E62=0, "", data_export!E62)</f>
        <v>-1.9331000000000001E-3</v>
      </c>
      <c r="O87" s="27">
        <f>IF(data_export!F62=0, "", data_export!F62)</f>
        <v>5.9521699999999997E-2</v>
      </c>
      <c r="P87" s="27">
        <f>IF(data_export!G62=0, "", data_export!G62)</f>
        <v>0.62694329999999998</v>
      </c>
      <c r="R87" s="27">
        <f>IF(data_export!H62=0, "", data_export!H62)</f>
        <v>-6.87194E-2</v>
      </c>
      <c r="S87" s="27">
        <f>IF(data_export!I62=0, "", data_export!I62)</f>
        <v>0.93128060000000001</v>
      </c>
      <c r="T87" s="27">
        <f>IF(data_export!J62=0, "", data_export!J62)</f>
        <v>0.67320559999999996</v>
      </c>
    </row>
    <row r="88" spans="6:24" s="23" customFormat="1" x14ac:dyDescent="0.3">
      <c r="F88" s="25"/>
      <c r="G88" s="26"/>
      <c r="H88" s="26" t="str">
        <f>data_export!A63</f>
        <v>Gas (Kilian)</v>
      </c>
      <c r="I88" s="27"/>
      <c r="J88" s="27">
        <f>IF(data_export!B63=0, "", data_export!B63)</f>
        <v>1</v>
      </c>
      <c r="K88" s="27">
        <f>IF(data_export!C63=0, "", data_export!C63)</f>
        <v>-0.3041334</v>
      </c>
      <c r="L88" s="27"/>
      <c r="M88" s="27">
        <f>IF(data_export!D63=0, "", data_export!D63)</f>
        <v>-2.4489999999999999E-4</v>
      </c>
      <c r="N88" s="27">
        <f>IF(data_export!E63=0, "", data_export!E63)</f>
        <v>-1.9331000000000001E-3</v>
      </c>
      <c r="O88" s="27">
        <f>IF(data_export!F63=0, "", data_export!F63)</f>
        <v>4.2074500000000001E-2</v>
      </c>
      <c r="P88" s="27">
        <f>IF(data_export!G63=0, "", data_export!G63)</f>
        <v>0.73576299999999994</v>
      </c>
      <c r="Q88" s="27"/>
      <c r="R88" s="27">
        <f>IF(data_export!H63=0, "", data_export!H63)</f>
        <v>-4.8627099999999999E-2</v>
      </c>
      <c r="S88" s="27">
        <f>IF(data_export!I63=0, "", data_export!I63)</f>
        <v>0.95137289999999997</v>
      </c>
      <c r="T88" s="27">
        <f>IF(data_export!J63=0, "", data_export!J63)</f>
        <v>0.77336970000000005</v>
      </c>
      <c r="U88" s="27"/>
      <c r="V88" s="27"/>
      <c r="W88" s="25"/>
      <c r="X88" s="24"/>
    </row>
    <row r="89" spans="6:24" x14ac:dyDescent="0.3">
      <c r="H89" s="26" t="str">
        <f>data_export!A64</f>
        <v>Gas (Gelman)</v>
      </c>
      <c r="I89" s="26"/>
      <c r="J89" s="27">
        <f>IF(data_export!B64=0, "", data_export!B64)</f>
        <v>1</v>
      </c>
      <c r="K89" s="27">
        <f>IF(data_export!C64=0, "", data_export!C64)</f>
        <v>-0.25177890000000003</v>
      </c>
      <c r="M89" s="27">
        <f>IF(data_export!D64=0, "", data_export!D64)</f>
        <v>-2.4489999999999999E-4</v>
      </c>
      <c r="N89" s="27">
        <f>IF(data_export!E64=0, "", data_export!E64)</f>
        <v>-1.9331000000000001E-3</v>
      </c>
      <c r="O89" s="27">
        <f>IF(data_export!F64=0, "", data_export!F64)</f>
        <v>3.4840299999999998E-2</v>
      </c>
      <c r="P89" s="27">
        <f>IF(data_export!G64=0, "", data_export!G64)</f>
        <v>0.78088329999999995</v>
      </c>
      <c r="R89" s="27">
        <f>IF(data_export!H64=0, "", data_export!H64)</f>
        <v>-4.0296199999999997E-2</v>
      </c>
      <c r="S89" s="27">
        <f>IF(data_export!I64=0, "", data_export!I64)</f>
        <v>0.9597038</v>
      </c>
      <c r="T89" s="27">
        <f>IF(data_export!J64=0, "", data_export!J64)</f>
        <v>0.81367109999999998</v>
      </c>
    </row>
    <row r="90" spans="6:24" x14ac:dyDescent="0.3">
      <c r="H90" s="26" t="str">
        <f>data_export!A65</f>
        <v>Gas (Park)</v>
      </c>
      <c r="I90" s="26"/>
      <c r="J90" s="27">
        <f>IF(data_export!B65=0, "", data_export!B65)</f>
        <v>1</v>
      </c>
      <c r="K90" s="27">
        <f>IF(data_export!C65=0, "", data_export!C65)</f>
        <v>-0.24638940000000001</v>
      </c>
      <c r="M90" s="27">
        <f>IF(data_export!D65=0, "", data_export!D65)</f>
        <v>-2.4489999999999999E-4</v>
      </c>
      <c r="N90" s="27">
        <f>IF(data_export!E65=0, "", data_export!E65)</f>
        <v>-1.9331000000000001E-3</v>
      </c>
      <c r="O90" s="27">
        <f>IF(data_export!F65=0, "", data_export!F65)</f>
        <v>3.4095599999999997E-2</v>
      </c>
      <c r="P90" s="27">
        <f>IF(data_export!G65=0, "", data_export!G65)</f>
        <v>0.78552809999999995</v>
      </c>
      <c r="R90" s="27">
        <f>IF(data_export!H65=0, "", data_export!H65)</f>
        <v>-3.9438599999999997E-2</v>
      </c>
      <c r="S90" s="27">
        <f>IF(data_export!I65=0, "", data_export!I65)</f>
        <v>0.96056140000000001</v>
      </c>
      <c r="T90" s="27">
        <f>IF(data_export!J65=0, "", data_export!J65)</f>
        <v>0.81778010000000001</v>
      </c>
    </row>
    <row r="91" spans="6:24" x14ac:dyDescent="0.3">
      <c r="H91" s="26" t="str">
        <f>data_export!A66</f>
        <v>Gas (Hughes)</v>
      </c>
      <c r="I91" s="26"/>
      <c r="J91" s="27">
        <f>IF(data_export!B66=0, "", data_export!B66)</f>
        <v>1</v>
      </c>
      <c r="K91" s="27">
        <f>IF(data_export!C66=0, "", data_export!C66)</f>
        <v>-6.39184E-2</v>
      </c>
      <c r="M91" s="27">
        <f>IF(data_export!D66=0, "", data_export!D66)</f>
        <v>-2.4489999999999999E-4</v>
      </c>
      <c r="N91" s="27">
        <f>IF(data_export!E66=0, "", data_export!E66)</f>
        <v>-1.9331000000000001E-3</v>
      </c>
      <c r="O91" s="27">
        <f>IF(data_export!F66=0, "", data_export!F66)</f>
        <v>8.8821999999999998E-3</v>
      </c>
      <c r="P91" s="27">
        <f>IF(data_export!G66=0, "", data_export!G66)</f>
        <v>0.94278569999999995</v>
      </c>
      <c r="R91" s="27">
        <f>IF(data_export!H66=0, "", data_export!H66)</f>
        <v>-1.0402700000000001E-2</v>
      </c>
      <c r="S91" s="27">
        <f>IF(data_export!I66=0, "", data_export!I66)</f>
        <v>0.98959730000000001</v>
      </c>
      <c r="T91" s="27">
        <f>IF(data_export!J66=0, "", data_export!J66)</f>
        <v>0.9526964</v>
      </c>
    </row>
    <row r="92" spans="6:24" ht="10.199999999999999" customHeight="1" x14ac:dyDescent="0.3"/>
    <row r="93" spans="6:24" ht="29.4" thickBot="1" x14ac:dyDescent="0.35">
      <c r="F93" s="37"/>
      <c r="G93" s="21" t="str">
        <f>data_export!A67</f>
        <v>Other Fuel Taxes</v>
      </c>
      <c r="H93" s="21"/>
      <c r="I93" s="22"/>
      <c r="J93" s="22">
        <f>IF(data_export!B67=0, "", data_export!B67)</f>
        <v>1</v>
      </c>
      <c r="K93" s="22">
        <f>IF(data_export!C67=0, "", data_export!C67)</f>
        <v>-0.25068570000000001</v>
      </c>
      <c r="L93" s="22"/>
      <c r="M93" s="22" t="str">
        <f>IF(data_export!D67=0, "", data_export!D67)</f>
        <v/>
      </c>
      <c r="N93" s="22" t="str">
        <f>IF(data_export!E67=0, "", data_export!E67)</f>
        <v/>
      </c>
      <c r="O93" s="22">
        <f>IF(data_export!F67=0, "", data_export!F67)</f>
        <v>2.5273299999999999E-2</v>
      </c>
      <c r="P93" s="22">
        <f>IF(data_export!G67=0, "", data_export!G67)</f>
        <v>0.77458760000000004</v>
      </c>
      <c r="Q93" s="22"/>
      <c r="R93" s="22">
        <f>IF(data_export!H67=0, "", data_export!H67)</f>
        <v>-2.9754300000000001E-2</v>
      </c>
      <c r="S93" s="22">
        <f>IF(data_export!I67=0, "", data_export!I67)</f>
        <v>0.97024569999999999</v>
      </c>
      <c r="T93" s="22">
        <f>IF(data_export!J67=0, "", data_export!J67)</f>
        <v>0.79834159999999998</v>
      </c>
      <c r="U93" s="21"/>
    </row>
    <row r="94" spans="6:24" x14ac:dyDescent="0.3">
      <c r="H94" s="26" t="str">
        <f>data_export!A68</f>
        <v>Jet Fuel</v>
      </c>
      <c r="I94" s="26"/>
      <c r="J94" s="27">
        <f>IF(data_export!B68=0, "", data_export!B68)</f>
        <v>1</v>
      </c>
      <c r="K94" s="27">
        <f>IF(data_export!C68=0, "", data_export!C68)</f>
        <v>-0.31315140000000002</v>
      </c>
      <c r="M94" s="27" t="str">
        <f>IF(data_export!D68=0, "", data_export!D68)</f>
        <v/>
      </c>
      <c r="N94" s="27" t="str">
        <f>IF(data_export!E68=0, "", data_export!E68)</f>
        <v/>
      </c>
      <c r="O94" s="27">
        <f>IF(data_export!F68=0, "", data_export!F68)</f>
        <v>3.5554000000000002E-2</v>
      </c>
      <c r="P94" s="27">
        <f>IF(data_export!G68=0, "", data_export!G68)</f>
        <v>0.72240260000000001</v>
      </c>
      <c r="R94" s="27">
        <f>IF(data_export!H68=0, "", data_export!H68)</f>
        <v>-4.1854500000000003E-2</v>
      </c>
      <c r="S94" s="27">
        <f>IF(data_export!I68=0, "", data_export!I68)</f>
        <v>0.95814549999999998</v>
      </c>
      <c r="T94" s="27">
        <f>IF(data_export!J68=0, "", data_export!J68)</f>
        <v>0.75395920000000005</v>
      </c>
    </row>
    <row r="95" spans="6:24" x14ac:dyDescent="0.3">
      <c r="H95" s="26" t="str">
        <f>data_export!A69</f>
        <v>Diesel</v>
      </c>
      <c r="I95" s="26"/>
      <c r="J95" s="27">
        <f>IF(data_export!B69=0, "", data_export!B69)</f>
        <v>1</v>
      </c>
      <c r="K95" s="27">
        <f>IF(data_export!C69=0, "", data_export!C69)</f>
        <v>-0.1882201</v>
      </c>
      <c r="M95" s="27" t="str">
        <f>IF(data_export!D69=0, "", data_export!D69)</f>
        <v/>
      </c>
      <c r="N95" s="27" t="str">
        <f>IF(data_export!E69=0, "", data_export!E69)</f>
        <v/>
      </c>
      <c r="O95" s="27">
        <f>IF(data_export!F69=0, "", data_export!F69)</f>
        <v>1.49926E-2</v>
      </c>
      <c r="P95" s="27">
        <f>IF(data_export!G69=0, "", data_export!G69)</f>
        <v>0.82677259999999997</v>
      </c>
      <c r="R95" s="27">
        <f>IF(data_export!H69=0, "", data_export!H69)</f>
        <v>-1.7654E-2</v>
      </c>
      <c r="S95" s="27">
        <f>IF(data_export!I69=0, "", data_export!I69)</f>
        <v>0.98234600000000005</v>
      </c>
      <c r="T95" s="27">
        <f>IF(data_export!J69=0, "", data_export!J69)</f>
        <v>0.84163069999999995</v>
      </c>
    </row>
    <row r="96" spans="6:24" ht="10.199999999999999" customHeight="1" x14ac:dyDescent="0.3"/>
    <row r="97" spans="6:23" ht="29.4" thickBot="1" x14ac:dyDescent="0.35">
      <c r="F97" s="37"/>
      <c r="G97" s="21" t="str">
        <f>data_export!A70</f>
        <v>Other Revenue Raisers</v>
      </c>
      <c r="H97" s="21"/>
      <c r="I97" s="22"/>
      <c r="J97" s="22">
        <f>IF(data_export!B70=0, "", data_export!B70)</f>
        <v>0.9785933</v>
      </c>
      <c r="K97" s="22">
        <f>IF(data_export!C70=0, "", data_export!C70)</f>
        <v>-0.15148329999999999</v>
      </c>
      <c r="L97" s="22"/>
      <c r="M97" s="22" t="str">
        <f>IF(data_export!D70=0, "", data_export!D70)</f>
        <v/>
      </c>
      <c r="N97" s="22" t="str">
        <f>IF(data_export!E70=0, "", data_export!E70)</f>
        <v/>
      </c>
      <c r="O97" s="22">
        <f>IF(data_export!F70=0, "", data_export!F70)</f>
        <v>-0.10828400000000001</v>
      </c>
      <c r="P97" s="22">
        <f>IF(data_export!G70=0, "", data_export!G70)</f>
        <v>0.71882599999999996</v>
      </c>
      <c r="Q97" s="22"/>
      <c r="R97" s="22">
        <f>IF(data_export!H70=0, "", data_export!H70)</f>
        <v>0.111731</v>
      </c>
      <c r="S97" s="22">
        <f>IF(data_export!I70=0, "", data_export!I70)</f>
        <v>1.111731</v>
      </c>
      <c r="T97" s="22">
        <f>IF(data_export!J70=0, "", data_export!J70)</f>
        <v>0.64658260000000001</v>
      </c>
      <c r="U97" s="21"/>
    </row>
    <row r="98" spans="6:23" x14ac:dyDescent="0.3">
      <c r="H98" s="26" t="str">
        <f>data_export!A71</f>
        <v>CPP (AJ)</v>
      </c>
      <c r="I98" s="26"/>
      <c r="J98" s="27">
        <f>IF(data_export!B71=0, "", data_export!B71)</f>
        <v>1</v>
      </c>
      <c r="K98" s="27">
        <f>IF(data_export!C71=0, "", data_export!C71)</f>
        <v>-0.1364863</v>
      </c>
      <c r="M98" s="27" t="str">
        <f>IF(data_export!D71=0, "", data_export!D71)</f>
        <v/>
      </c>
      <c r="N98" s="27" t="str">
        <f>IF(data_export!E71=0, "", data_export!E71)</f>
        <v/>
      </c>
      <c r="O98" s="27">
        <f>IF(data_export!F71=0, "", data_export!F71)</f>
        <v>-0.32313019999999998</v>
      </c>
      <c r="P98" s="27">
        <f>IF(data_export!G71=0, "", data_export!G71)</f>
        <v>0.54038350000000002</v>
      </c>
      <c r="R98" s="27">
        <f>IF(data_export!H71=0, "", data_export!H71)</f>
        <v>0.17761440000000001</v>
      </c>
      <c r="S98" s="27">
        <f>IF(data_export!I71=0, "", data_export!I71)</f>
        <v>1.1776139999999999</v>
      </c>
      <c r="T98" s="27">
        <f>IF(data_export!J71=0, "", data_export!J71)</f>
        <v>0.4588798</v>
      </c>
    </row>
    <row r="99" spans="6:23" x14ac:dyDescent="0.3">
      <c r="H99" s="26" t="str">
        <f>data_export!A72</f>
        <v>CARE</v>
      </c>
      <c r="I99" s="26"/>
      <c r="J99" s="27">
        <f>IF(data_export!B72=0, "", data_export!B72)</f>
        <v>0.9357799</v>
      </c>
      <c r="K99" s="27">
        <f>IF(data_export!C72=0, "", data_export!C72)</f>
        <v>-0.26776650000000002</v>
      </c>
      <c r="M99" s="27" t="str">
        <f>IF(data_export!D72=0, "", data_export!D72)</f>
        <v/>
      </c>
      <c r="N99" s="27" t="str">
        <f>IF(data_export!E72=0, "", data_export!E72)</f>
        <v/>
      </c>
      <c r="O99" s="27">
        <f>IF(data_export!F72=0, "", data_export!F72)</f>
        <v>0.1171194</v>
      </c>
      <c r="P99" s="27">
        <f>IF(data_export!G72=0, "", data_export!G72)</f>
        <v>0.78513270000000002</v>
      </c>
      <c r="R99" s="27">
        <f>IF(data_export!H72=0, "", data_export!H72)</f>
        <v>9.2255500000000004E-2</v>
      </c>
      <c r="S99" s="27">
        <f>IF(data_export!I72=0, "", data_export!I72)</f>
        <v>1.0922559999999999</v>
      </c>
      <c r="T99" s="27">
        <f>IF(data_export!J72=0, "", data_export!J72)</f>
        <v>0.71881779999999995</v>
      </c>
    </row>
    <row r="100" spans="6:23" x14ac:dyDescent="0.3">
      <c r="H100" s="26" t="str">
        <f>data_export!A73</f>
        <v>CPP (PJ)</v>
      </c>
      <c r="I100" s="26"/>
      <c r="J100" s="27">
        <f>IF(data_export!B73=0, "", data_export!B73)</f>
        <v>1</v>
      </c>
      <c r="K100" s="27">
        <f>IF(data_export!C73=0, "", data_export!C73)</f>
        <v>-5.0197100000000001E-2</v>
      </c>
      <c r="M100" s="27" t="str">
        <f>IF(data_export!D73=0, "", data_export!D73)</f>
        <v/>
      </c>
      <c r="N100" s="27" t="str">
        <f>IF(data_export!E73=0, "", data_export!E73)</f>
        <v/>
      </c>
      <c r="O100" s="27">
        <f>IF(data_export!F73=0, "", data_export!F73)</f>
        <v>-0.11884119999999999</v>
      </c>
      <c r="P100" s="27">
        <f>IF(data_export!G73=0, "", data_export!G73)</f>
        <v>0.83096170000000003</v>
      </c>
      <c r="R100" s="27">
        <f>IF(data_export!H73=0, "", data_export!H73)</f>
        <v>6.5323199999999998E-2</v>
      </c>
      <c r="S100" s="27">
        <f>IF(data_export!I73=0, "", data_export!I73)</f>
        <v>1.065323</v>
      </c>
      <c r="T100" s="27">
        <f>IF(data_export!J73=0, "", data_export!J73)</f>
        <v>0.78000899999999995</v>
      </c>
    </row>
    <row r="101" spans="6:23" ht="10.199999999999999" customHeight="1" x14ac:dyDescent="0.3"/>
    <row r="102" spans="6:23" ht="29.4" thickBot="1" x14ac:dyDescent="0.35">
      <c r="F102" s="37"/>
      <c r="G102" s="21" t="str">
        <f>data_export!A74</f>
        <v>Cap and Trade</v>
      </c>
      <c r="H102" s="21"/>
      <c r="I102" s="22"/>
      <c r="J102" s="22">
        <f>IF(data_export!B74=0, "", data_export!B74)</f>
        <v>1</v>
      </c>
      <c r="K102" s="22">
        <f>IF(data_export!C74=0, "", data_export!C74)</f>
        <v>-0.85432889999999995</v>
      </c>
      <c r="L102" s="22"/>
      <c r="M102" s="22" t="str">
        <f>IF(data_export!D74=0, "", data_export!D74)</f>
        <v/>
      </c>
      <c r="N102" s="22" t="str">
        <f>IF(data_export!E74=0, "", data_export!E74)</f>
        <v/>
      </c>
      <c r="O102" s="22" t="str">
        <f>IF(data_export!F74=0, "", data_export!F74)</f>
        <v/>
      </c>
      <c r="P102" s="22">
        <f>IF(data_export!G74=0, "", data_export!G74)</f>
        <v>0.1456711</v>
      </c>
      <c r="Q102" s="22"/>
      <c r="R102" s="22">
        <f>IF(data_export!H74=0, "", data_export!H74)</f>
        <v>-2.0820100000000001E-2</v>
      </c>
      <c r="S102" s="22">
        <f>IF(data_export!I74=0, "", data_export!I74)</f>
        <v>0.97917989999999999</v>
      </c>
      <c r="T102" s="22">
        <f>IF(data_export!J74=0, "", data_export!J74)</f>
        <v>0.1487685</v>
      </c>
      <c r="U102" s="21"/>
    </row>
    <row r="103" spans="6:23" x14ac:dyDescent="0.3">
      <c r="H103" s="26" t="str">
        <f>data_export!A75</f>
        <v>RGGI</v>
      </c>
      <c r="I103" s="26"/>
      <c r="J103" s="27">
        <f>IF(data_export!B75=0, "", data_export!B75)</f>
        <v>1</v>
      </c>
      <c r="K103" s="27">
        <f>IF(data_export!C75=0, "", data_export!C75)</f>
        <v>-1.6460220000000001</v>
      </c>
      <c r="M103" s="27" t="str">
        <f>IF(data_export!D75=0, "", data_export!D75)</f>
        <v/>
      </c>
      <c r="N103" s="27" t="str">
        <f>IF(data_export!E75=0, "", data_export!E75)</f>
        <v/>
      </c>
      <c r="O103" s="27" t="str">
        <f>IF(data_export!F75=0, "", data_export!F75)</f>
        <v/>
      </c>
      <c r="P103" s="27">
        <f>IF(data_export!G75=0, "", data_export!G75)</f>
        <v>-0.64602199999999999</v>
      </c>
      <c r="R103" s="27">
        <f>IF(data_export!H75=0, "", data_export!H75)</f>
        <v>-3.7312699999999997E-2</v>
      </c>
      <c r="S103" s="27">
        <f>IF(data_export!I75=0, "", data_export!I75)</f>
        <v>0.96268730000000002</v>
      </c>
      <c r="T103" s="27">
        <f>IF(data_export!J75=0, "", data_export!J75)</f>
        <v>-0.67106120000000002</v>
      </c>
    </row>
    <row r="104" spans="6:23" x14ac:dyDescent="0.3">
      <c r="H104" s="26" t="str">
        <f>data_export!A76</f>
        <v>CA CT</v>
      </c>
      <c r="I104" s="26"/>
      <c r="J104" s="27">
        <f>IF(data_export!B76=0, "", data_export!B76)</f>
        <v>1</v>
      </c>
      <c r="K104" s="27">
        <f>IF(data_export!C76=0, "", data_export!C76)</f>
        <v>-6.2635800000000005E-2</v>
      </c>
      <c r="M104" s="27" t="str">
        <f>IF(data_export!D76=0, "", data_export!D76)</f>
        <v/>
      </c>
      <c r="N104" s="27" t="str">
        <f>IF(data_export!E76=0, "", data_export!E76)</f>
        <v/>
      </c>
      <c r="O104" s="27" t="str">
        <f>IF(data_export!F76=0, "", data_export!F76)</f>
        <v/>
      </c>
      <c r="P104" s="27">
        <f>IF(data_export!G76=0, "", data_export!G76)</f>
        <v>0.93736419999999998</v>
      </c>
      <c r="R104" s="27">
        <f>IF(data_export!H76=0, "", data_export!H76)</f>
        <v>-4.3274999999999997E-3</v>
      </c>
      <c r="S104" s="27">
        <f>IF(data_export!I76=0, "", data_export!I76)</f>
        <v>0.99567249999999996</v>
      </c>
      <c r="T104" s="27">
        <f>IF(data_export!J76=0, "", data_export!J76)</f>
        <v>0.94143829999999995</v>
      </c>
    </row>
    <row r="105" spans="6:23" ht="10.199999999999999" customHeight="1" x14ac:dyDescent="0.3"/>
    <row r="106" spans="6:23" ht="29.4" thickBot="1" x14ac:dyDescent="0.35">
      <c r="F106" s="19" t="s">
        <v>3</v>
      </c>
      <c r="G106" s="19"/>
      <c r="H106" s="19"/>
      <c r="I106" s="1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4"/>
      <c r="W106" s="24"/>
    </row>
    <row r="107" spans="6:23" ht="10.199999999999999" customHeight="1" thickTop="1" x14ac:dyDescent="0.3">
      <c r="F107" s="30"/>
      <c r="G107" s="30"/>
      <c r="H107" s="30"/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0"/>
      <c r="V107" s="30"/>
      <c r="W107" s="24"/>
    </row>
    <row r="108" spans="6:23" ht="29.4" thickBot="1" x14ac:dyDescent="0.35">
      <c r="F108" s="37"/>
      <c r="G108" s="21" t="str">
        <f>data_export!A77</f>
        <v>Cookstoves</v>
      </c>
      <c r="H108" s="21"/>
      <c r="I108" s="22"/>
      <c r="J108" s="22">
        <f>IF(data_export!B77=0, "", data_export!B77)</f>
        <v>4.100581</v>
      </c>
      <c r="K108" s="22">
        <f>IF(data_export!C77=0, "", data_export!C77)</f>
        <v>20.102589999999999</v>
      </c>
      <c r="L108" s="22"/>
      <c r="M108" s="22" t="str">
        <f>IF(data_export!D77=0, "", data_export!D77)</f>
        <v/>
      </c>
      <c r="N108" s="22" t="str">
        <f>IF(data_export!E77=0, "", data_export!E77)</f>
        <v/>
      </c>
      <c r="O108" s="22" t="str">
        <f>IF(data_export!F77=0, "", data_export!F77)</f>
        <v/>
      </c>
      <c r="P108" s="22">
        <f>IF(data_export!G77=0, "", data_export!G77)</f>
        <v>24.20317</v>
      </c>
      <c r="Q108" s="22"/>
      <c r="R108" s="22">
        <f>IF(data_export!H77=0, "", data_export!H77)</f>
        <v>-0.39258510000000002</v>
      </c>
      <c r="S108" s="22">
        <f>IF(data_export!I77=0, "", data_export!I77)</f>
        <v>0.60741489999999998</v>
      </c>
      <c r="T108" s="22">
        <f>IF(data_export!J77=0, "", data_export!J77)</f>
        <v>39.846200000000003</v>
      </c>
      <c r="U108" s="21"/>
    </row>
    <row r="109" spans="6:23" x14ac:dyDescent="0.3">
      <c r="H109" s="26" t="str">
        <f>data_export!A78</f>
        <v>Cookstove (Kenya)</v>
      </c>
      <c r="I109" s="26"/>
      <c r="J109" s="27">
        <f>IF(data_export!B78=0, "", data_export!B78)</f>
        <v>7.6558739999999998</v>
      </c>
      <c r="K109" s="27">
        <f>IF(data_export!C78=0, "", data_export!C78)</f>
        <v>43.160910000000001</v>
      </c>
      <c r="M109" s="27" t="str">
        <f>IF(data_export!D78=0, "", data_export!D78)</f>
        <v/>
      </c>
      <c r="N109" s="27" t="str">
        <f>IF(data_export!E78=0, "", data_export!E78)</f>
        <v/>
      </c>
      <c r="O109" s="27" t="str">
        <f>IF(data_export!F78=0, "", data_export!F78)</f>
        <v/>
      </c>
      <c r="P109" s="27">
        <f>IF(data_export!G78=0, "", data_export!G78)</f>
        <v>50.816780000000001</v>
      </c>
      <c r="R109" s="27">
        <f>IF(data_export!H78=0, "", data_export!H78)</f>
        <v>-0.8428928</v>
      </c>
      <c r="S109" s="27">
        <f>IF(data_export!I78=0, "", data_export!I78)</f>
        <v>0.1571072</v>
      </c>
      <c r="T109" s="27">
        <f>IF(data_export!J78=0, "", data_export!J78)</f>
        <v>323.4529</v>
      </c>
    </row>
    <row r="110" spans="6:23" x14ac:dyDescent="0.3">
      <c r="H110" s="26" t="str">
        <f>data_export!A79</f>
        <v>Cookstove (India)</v>
      </c>
      <c r="I110" s="26"/>
      <c r="J110" s="27">
        <f>IF(data_export!B79=0, "", data_export!B79)</f>
        <v>0.54528799999999999</v>
      </c>
      <c r="K110" s="27">
        <f>IF(data_export!C79=0, "", data_export!C79)</f>
        <v>-2.9557250000000002</v>
      </c>
      <c r="M110" s="27" t="str">
        <f>IF(data_export!D79=0, "", data_export!D79)</f>
        <v/>
      </c>
      <c r="N110" s="27" t="str">
        <f>IF(data_export!E79=0, "", data_export!E79)</f>
        <v/>
      </c>
      <c r="O110" s="27" t="str">
        <f>IF(data_export!F79=0, "", data_export!F79)</f>
        <v/>
      </c>
      <c r="P110" s="27">
        <f>IF(data_export!G79=0, "", data_export!G79)</f>
        <v>-2.4104369999999999</v>
      </c>
      <c r="R110" s="27">
        <f>IF(data_export!H79=0, "", data_export!H79)</f>
        <v>5.7722599999999999E-2</v>
      </c>
      <c r="S110" s="27">
        <f>IF(data_export!I79=0, "", data_export!I79)</f>
        <v>1.057723</v>
      </c>
      <c r="T110" s="27">
        <f>IF(data_export!J79=0, "", data_export!J79)</f>
        <v>-2.2788930000000001</v>
      </c>
    </row>
    <row r="111" spans="6:23" ht="10.199999999999999" customHeight="1" x14ac:dyDescent="0.3"/>
    <row r="112" spans="6:23" ht="29.4" thickBot="1" x14ac:dyDescent="0.35">
      <c r="F112" s="37"/>
      <c r="G112" s="21" t="str">
        <f>data_export!A80</f>
        <v>Deforestation</v>
      </c>
      <c r="H112" s="21"/>
      <c r="I112" s="22"/>
      <c r="J112" s="22">
        <f>IF(data_export!B80=0, "", data_export!B80)</f>
        <v>0.46187899999999998</v>
      </c>
      <c r="K112" s="22">
        <f>IF(data_export!C80=0, "", data_export!C80)</f>
        <v>14.44322</v>
      </c>
      <c r="L112" s="22"/>
      <c r="M112" s="22" t="str">
        <f>IF(data_export!D80=0, "", data_export!D80)</f>
        <v/>
      </c>
      <c r="N112" s="22" t="str">
        <f>IF(data_export!E80=0, "", data_export!E80)</f>
        <v/>
      </c>
      <c r="O112" s="22" t="str">
        <f>IF(data_export!F80=0, "", data_export!F80)</f>
        <v/>
      </c>
      <c r="P112" s="22">
        <f>IF(data_export!G80=0, "", data_export!G80)</f>
        <v>14.905099999999999</v>
      </c>
      <c r="Q112" s="22"/>
      <c r="R112" s="22">
        <f>IF(data_export!H80=0, "", data_export!H80)</f>
        <v>-0.2820627</v>
      </c>
      <c r="S112" s="22">
        <f>IF(data_export!I80=0, "", data_export!I80)</f>
        <v>0.71793720000000005</v>
      </c>
      <c r="T112" s="22">
        <f>IF(data_export!J80=0, "", data_export!J80)</f>
        <v>20.760999999999999</v>
      </c>
      <c r="U112" s="21"/>
    </row>
    <row r="113" spans="6:22" x14ac:dyDescent="0.3">
      <c r="H113" s="26" t="str">
        <f>data_export!A81</f>
        <v>REDD+ (SL)</v>
      </c>
      <c r="I113" s="26"/>
      <c r="J113" s="27" t="str">
        <f>IF(data_export!B81=0, "", data_export!B81)</f>
        <v/>
      </c>
      <c r="K113" s="27">
        <f>IF(data_export!C81=0, "", data_export!C81)</f>
        <v>35.840240000000001</v>
      </c>
      <c r="M113" s="27" t="str">
        <f>IF(data_export!D81=0, "", data_export!D81)</f>
        <v/>
      </c>
      <c r="N113" s="27" t="str">
        <f>IF(data_export!E81=0, "", data_export!E81)</f>
        <v/>
      </c>
      <c r="O113" s="27" t="str">
        <f>IF(data_export!F81=0, "", data_export!F81)</f>
        <v/>
      </c>
      <c r="P113" s="27">
        <f>IF(data_export!G81=0, "", data_export!G81)</f>
        <v>35.840240000000001</v>
      </c>
      <c r="R113" s="27">
        <f>IF(data_export!H81=0, "", data_export!H81)</f>
        <v>-0.69992690000000002</v>
      </c>
      <c r="S113" s="27">
        <f>IF(data_export!I81=0, "", data_export!I81)</f>
        <v>0.30007309999999998</v>
      </c>
      <c r="T113" s="27">
        <f>IF(data_export!J81=0, "", data_export!J81)</f>
        <v>119.4383</v>
      </c>
    </row>
    <row r="114" spans="6:22" s="23" customFormat="1" x14ac:dyDescent="0.3">
      <c r="F114" s="19"/>
      <c r="G114" s="26"/>
      <c r="H114" s="26" t="str">
        <f>data_export!A82</f>
        <v>Deforest (Uganda)</v>
      </c>
      <c r="I114" s="27"/>
      <c r="J114" s="27">
        <f>IF(data_export!B82=0, "", data_export!B82)</f>
        <v>0.42063699999999998</v>
      </c>
      <c r="K114" s="27">
        <f>IF(data_export!C82=0, "", data_export!C82)</f>
        <v>4.5379940000000003</v>
      </c>
      <c r="L114" s="27"/>
      <c r="M114" s="27" t="str">
        <f>IF(data_export!D82=0, "", data_export!D82)</f>
        <v/>
      </c>
      <c r="N114" s="27" t="str">
        <f>IF(data_export!E82=0, "", data_export!E82)</f>
        <v/>
      </c>
      <c r="O114" s="27" t="str">
        <f>IF(data_export!F82=0, "", data_export!F82)</f>
        <v/>
      </c>
      <c r="P114" s="27">
        <f>IF(data_export!G82=0, "", data_export!G82)</f>
        <v>4.9586309999999996</v>
      </c>
      <c r="Q114" s="27"/>
      <c r="R114" s="27">
        <f>IF(data_export!H82=0, "", data_export!H82)</f>
        <v>-8.8622800000000002E-2</v>
      </c>
      <c r="S114" s="27">
        <f>IF(data_export!I82=0, "", data_export!I82)</f>
        <v>0.91137710000000005</v>
      </c>
      <c r="T114" s="27">
        <f>IF(data_export!J82=0, "", data_export!J82)</f>
        <v>5.4408110000000001</v>
      </c>
      <c r="U114" s="19"/>
      <c r="V114" s="19"/>
    </row>
    <row r="115" spans="6:22" x14ac:dyDescent="0.3">
      <c r="H115" s="26" t="str">
        <f>data_export!A83</f>
        <v>REDD+</v>
      </c>
      <c r="I115" s="26"/>
      <c r="J115" s="27">
        <f>IF(data_export!B83=0, "", data_export!B83)</f>
        <v>0.96499999999999997</v>
      </c>
      <c r="K115" s="27">
        <f>IF(data_export!C83=0, "", data_export!C83)</f>
        <v>2.9514209999999999</v>
      </c>
      <c r="M115" s="27" t="str">
        <f>IF(data_export!D83=0, "", data_export!D83)</f>
        <v/>
      </c>
      <c r="N115" s="27" t="str">
        <f>IF(data_export!E83=0, "", data_export!E83)</f>
        <v/>
      </c>
      <c r="O115" s="27" t="str">
        <f>IF(data_export!F83=0, "", data_export!F83)</f>
        <v/>
      </c>
      <c r="P115" s="27">
        <f>IF(data_export!G83=0, "", data_export!G83)</f>
        <v>3.9164210000000002</v>
      </c>
      <c r="R115" s="27">
        <f>IF(data_export!H83=0, "", data_export!H83)</f>
        <v>-5.7638500000000002E-2</v>
      </c>
      <c r="S115" s="27">
        <f>IF(data_export!I83=0, "", data_export!I83)</f>
        <v>0.94236149999999996</v>
      </c>
      <c r="T115" s="27">
        <f>IF(data_export!J83=0, "", data_export!J83)</f>
        <v>4.1559650000000001</v>
      </c>
    </row>
    <row r="116" spans="6:22" ht="10.199999999999999" customHeight="1" x14ac:dyDescent="0.3"/>
    <row r="117" spans="6:22" ht="29.4" thickBot="1" x14ac:dyDescent="0.35">
      <c r="F117" s="37"/>
      <c r="G117" s="21" t="str">
        <f>data_export!A84</f>
        <v>Rice Burning</v>
      </c>
      <c r="H117" s="21"/>
      <c r="I117" s="22"/>
      <c r="J117" s="22">
        <f>IF(data_export!B84=0, "", data_export!B84)</f>
        <v>0.94373359999999995</v>
      </c>
      <c r="K117" s="22">
        <f>IF(data_export!C84=0, "", data_export!C84)</f>
        <v>9.3849079999999994</v>
      </c>
      <c r="L117" s="22"/>
      <c r="M117" s="22" t="str">
        <f>IF(data_export!D84=0, "", data_export!D84)</f>
        <v/>
      </c>
      <c r="N117" s="22" t="str">
        <f>IF(data_export!E84=0, "", data_export!E84)</f>
        <v/>
      </c>
      <c r="O117" s="22" t="str">
        <f>IF(data_export!F84=0, "", data_export!F84)</f>
        <v/>
      </c>
      <c r="P117" s="22">
        <f>IF(data_export!G84=0, "", data_export!G84)</f>
        <v>10.32864</v>
      </c>
      <c r="Q117" s="22"/>
      <c r="R117" s="22">
        <f>IF(data_export!H84=0, "", data_export!H84)</f>
        <v>-0.18327860000000001</v>
      </c>
      <c r="S117" s="22">
        <f>IF(data_export!I84=0, "", data_export!I84)</f>
        <v>0.81672140000000004</v>
      </c>
      <c r="T117" s="22">
        <f>IF(data_export!J84=0, "", data_export!J84)</f>
        <v>12.646470000000001</v>
      </c>
      <c r="U117" s="21"/>
    </row>
    <row r="118" spans="6:22" x14ac:dyDescent="0.3">
      <c r="H118" s="26" t="str">
        <f>data_export!A85</f>
        <v>India PES (Upfront)</v>
      </c>
      <c r="I118" s="26"/>
      <c r="J118" s="27">
        <f>IF(data_export!B85=0, "", data_export!B85)</f>
        <v>0.97221299999999999</v>
      </c>
      <c r="K118" s="27">
        <f>IF(data_export!C85=0, "", data_export!C85)</f>
        <v>10.642139999999999</v>
      </c>
      <c r="M118" s="27" t="str">
        <f>IF(data_export!D85=0, "", data_export!D85)</f>
        <v/>
      </c>
      <c r="N118" s="27" t="str">
        <f>IF(data_export!E85=0, "", data_export!E85)</f>
        <v/>
      </c>
      <c r="O118" s="27" t="str">
        <f>IF(data_export!F85=0, "", data_export!F85)</f>
        <v/>
      </c>
      <c r="P118" s="27">
        <f>IF(data_export!G85=0, "", data_export!G85)</f>
        <v>11.61436</v>
      </c>
      <c r="R118" s="27">
        <f>IF(data_export!H85=0, "", data_export!H85)</f>
        <v>-0.2078313</v>
      </c>
      <c r="S118" s="27">
        <f>IF(data_export!I85=0, "", data_export!I85)</f>
        <v>0.79216869999999995</v>
      </c>
      <c r="T118" s="27">
        <f>IF(data_export!J85=0, "", data_export!J85)</f>
        <v>14.66147</v>
      </c>
    </row>
    <row r="119" spans="6:22" x14ac:dyDescent="0.3">
      <c r="H119" s="26" t="str">
        <f>data_export!A86</f>
        <v>India PES (Standard)</v>
      </c>
      <c r="I119" s="26"/>
      <c r="J119" s="27">
        <f>IF(data_export!B86=0, "", data_export!B86)</f>
        <v>0.91525429999999997</v>
      </c>
      <c r="K119" s="27">
        <f>IF(data_export!C86=0, "", data_export!C86)</f>
        <v>8.1276709999999994</v>
      </c>
      <c r="M119" s="27" t="str">
        <f>IF(data_export!D86=0, "", data_export!D86)</f>
        <v/>
      </c>
      <c r="N119" s="27" t="str">
        <f>IF(data_export!E86=0, "", data_export!E86)</f>
        <v/>
      </c>
      <c r="O119" s="27" t="str">
        <f>IF(data_export!F86=0, "", data_export!F86)</f>
        <v/>
      </c>
      <c r="P119" s="27">
        <f>IF(data_export!G86=0, "", data_export!G86)</f>
        <v>9.0429250000000003</v>
      </c>
      <c r="R119" s="27">
        <f>IF(data_export!H86=0, "", data_export!H86)</f>
        <v>-0.1587259</v>
      </c>
      <c r="S119" s="27">
        <f>IF(data_export!I86=0, "", data_export!I86)</f>
        <v>0.84127410000000002</v>
      </c>
      <c r="T119" s="27">
        <f>IF(data_export!J86=0, "", data_export!J86)</f>
        <v>10.749079999999999</v>
      </c>
    </row>
    <row r="120" spans="6:22" ht="10.199999999999999" customHeight="1" x14ac:dyDescent="0.3"/>
    <row r="121" spans="6:22" ht="29.4" thickBot="1" x14ac:dyDescent="0.35">
      <c r="F121" s="37"/>
      <c r="G121" s="20" t="str">
        <f>data_export!A87</f>
        <v>Wind Offset</v>
      </c>
      <c r="H121" s="21"/>
      <c r="I121" s="21"/>
      <c r="J121" s="22">
        <f>IF(data_export!B87=0, "", data_export!B87)</f>
        <v>1</v>
      </c>
      <c r="K121" s="22">
        <f>IF(data_export!C87=0, "", data_export!C87)</f>
        <v>7.4946700000000002</v>
      </c>
      <c r="L121" s="22"/>
      <c r="M121" s="22" t="str">
        <f>IF(data_export!D87=0, "", data_export!D87)</f>
        <v/>
      </c>
      <c r="N121" s="22" t="str">
        <f>IF(data_export!E87=0, "", data_export!E87)</f>
        <v/>
      </c>
      <c r="O121" s="22" t="str">
        <f>IF(data_export!F87=0, "", data_export!F87)</f>
        <v/>
      </c>
      <c r="P121" s="22">
        <f>IF(data_export!G87=0, "", data_export!G87)</f>
        <v>8.4946699999999993</v>
      </c>
      <c r="Q121" s="22"/>
      <c r="R121" s="22">
        <f>IF(data_export!H87=0, "", data_export!H87)</f>
        <v>0.1116974</v>
      </c>
      <c r="S121" s="22">
        <f>IF(data_export!I87=0, "", data_export!I87)</f>
        <v>1.1116969999999999</v>
      </c>
      <c r="T121" s="22">
        <f>IF(data_export!J87=0, "", data_export!J87)</f>
        <v>7.6411709999999999</v>
      </c>
      <c r="U121" s="21"/>
      <c r="V121" s="25"/>
    </row>
    <row r="122" spans="6:22" x14ac:dyDescent="0.3">
      <c r="H122" s="26" t="str">
        <f>data_export!A88</f>
        <v>Offset (India)</v>
      </c>
      <c r="I122" s="26"/>
      <c r="J122" s="27">
        <f>IF(data_export!B88=0, "", data_export!B88)</f>
        <v>1</v>
      </c>
      <c r="K122" s="27">
        <f>IF(data_export!C88=0, "", data_export!C88)</f>
        <v>7.4946700000000002</v>
      </c>
      <c r="M122" s="27" t="str">
        <f>IF(data_export!D88=0, "", data_export!D88)</f>
        <v/>
      </c>
      <c r="N122" s="27" t="str">
        <f>IF(data_export!E88=0, "", data_export!E88)</f>
        <v/>
      </c>
      <c r="O122" s="27" t="str">
        <f>IF(data_export!F88=0, "", data_export!F88)</f>
        <v/>
      </c>
      <c r="P122" s="27">
        <f>IF(data_export!G88=0, "", data_export!G88)</f>
        <v>8.4946699999999993</v>
      </c>
      <c r="R122" s="27">
        <f>IF(data_export!H88=0, "", data_export!H88)</f>
        <v>0.1116974</v>
      </c>
      <c r="S122" s="27">
        <f>IF(data_export!I88=0, "", data_export!I88)</f>
        <v>1.1116969999999999</v>
      </c>
      <c r="T122" s="27">
        <f>IF(data_export!J88=0, "", data_export!J88)</f>
        <v>7.6411709999999999</v>
      </c>
    </row>
    <row r="123" spans="6:22" ht="10.199999999999999" customHeight="1" x14ac:dyDescent="0.3">
      <c r="H123" s="26"/>
      <c r="I123" s="26"/>
    </row>
    <row r="124" spans="6:22" s="23" customFormat="1" ht="29.4" thickBot="1" x14ac:dyDescent="0.35">
      <c r="F124" s="19"/>
      <c r="G124" s="20" t="str">
        <f>data_export!A89</f>
        <v>International Rebates</v>
      </c>
      <c r="H124" s="21"/>
      <c r="I124" s="21"/>
      <c r="J124" s="22">
        <f>IF(data_export!B89=0, "", data_export!B89)</f>
        <v>0.66666669999999995</v>
      </c>
      <c r="K124" s="22">
        <f>IF(data_export!C89=0, "", data_export!C89)</f>
        <v>-1.75587E-2</v>
      </c>
      <c r="L124" s="22"/>
      <c r="M124" s="22" t="str">
        <f>IF(data_export!D89=0, "", data_export!D89)</f>
        <v/>
      </c>
      <c r="N124" s="22" t="str">
        <f>IF(data_export!E89=0, "", data_export!E89)</f>
        <v/>
      </c>
      <c r="O124" s="22" t="str">
        <f>IF(data_export!F89=0, "", data_export!F89)</f>
        <v/>
      </c>
      <c r="P124" s="22">
        <f>IF(data_export!G89=0, "", data_export!G89)</f>
        <v>0.64910800000000002</v>
      </c>
      <c r="Q124" s="22"/>
      <c r="R124" s="22">
        <f>IF(data_export!H89=0, "", data_export!H89)</f>
        <v>3.4289999999999999E-4</v>
      </c>
      <c r="S124" s="22">
        <f>IF(data_export!I89=0, "", data_export!I89)</f>
        <v>1.000343</v>
      </c>
      <c r="T124" s="22">
        <f>IF(data_export!J89=0, "", data_export!J89)</f>
        <v>0.6488855</v>
      </c>
      <c r="U124" s="21"/>
      <c r="V124" s="19"/>
    </row>
    <row r="125" spans="6:22" x14ac:dyDescent="0.3">
      <c r="H125" s="26" t="str">
        <f>data_export!A90</f>
        <v>Fridge (Mexico)</v>
      </c>
      <c r="I125" s="26"/>
      <c r="J125" s="27">
        <f>IF(data_export!B90=0, "", data_export!B90)</f>
        <v>0.75</v>
      </c>
      <c r="K125" s="27">
        <f>IF(data_export!C90=0, "", data_export!C90)</f>
        <v>0.1003563</v>
      </c>
      <c r="M125" s="27" t="str">
        <f>IF(data_export!D90=0, "", data_export!D90)</f>
        <v/>
      </c>
      <c r="N125" s="27" t="str">
        <f>IF(data_export!E90=0, "", data_export!E90)</f>
        <v/>
      </c>
      <c r="O125" s="27" t="str">
        <f>IF(data_export!F90=0, "", data_export!F90)</f>
        <v/>
      </c>
      <c r="P125" s="27">
        <f>IF(data_export!G90=0, "", data_export!G90)</f>
        <v>0.85035629999999995</v>
      </c>
      <c r="R125" s="27">
        <f>IF(data_export!H90=0, "", data_export!H90)</f>
        <v>-1.9599000000000001E-3</v>
      </c>
      <c r="S125" s="27">
        <f>IF(data_export!I90=0, "", data_export!I90)</f>
        <v>0.99804009999999999</v>
      </c>
      <c r="T125" s="27">
        <f>IF(data_export!J90=0, "", data_export!J90)</f>
        <v>0.85202619999999996</v>
      </c>
    </row>
    <row r="126" spans="6:22" x14ac:dyDescent="0.3">
      <c r="H126" s="26" t="str">
        <f>data_export!A91</f>
        <v>AC (Mexico)</v>
      </c>
      <c r="I126" s="26"/>
      <c r="J126" s="27">
        <f>IF(data_export!B91=0, "", data_export!B91)</f>
        <v>0.75</v>
      </c>
      <c r="K126" s="27">
        <f>IF(data_export!C91=0, "", data_export!C91)</f>
        <v>-7.5490100000000004E-2</v>
      </c>
      <c r="M126" s="27" t="str">
        <f>IF(data_export!D91=0, "", data_export!D91)</f>
        <v/>
      </c>
      <c r="N126" s="27" t="str">
        <f>IF(data_export!E91=0, "", data_export!E91)</f>
        <v/>
      </c>
      <c r="O126" s="27" t="str">
        <f>IF(data_export!F91=0, "", data_export!F91)</f>
        <v/>
      </c>
      <c r="P126" s="27">
        <f>IF(data_export!G91=0, "", data_export!G91)</f>
        <v>0.67450980000000005</v>
      </c>
      <c r="R126" s="27">
        <f>IF(data_export!H91=0, "", data_export!H91)</f>
        <v>1.4743E-3</v>
      </c>
      <c r="S126" s="27">
        <f>IF(data_export!I91=0, "", data_export!I91)</f>
        <v>1.001474</v>
      </c>
      <c r="T126" s="27">
        <f>IF(data_export!J91=0, "", data_export!J91)</f>
        <v>0.67351689999999997</v>
      </c>
    </row>
    <row r="127" spans="6:22" x14ac:dyDescent="0.3">
      <c r="H127" s="26" t="str">
        <f>data_export!A92</f>
        <v>WAP (Mexico)</v>
      </c>
      <c r="I127" s="26"/>
      <c r="J127" s="27">
        <f>IF(data_export!B92=0, "", data_export!B92)</f>
        <v>0.5</v>
      </c>
      <c r="K127" s="27">
        <f>IF(data_export!C92=0, "", data_export!C92)</f>
        <v>-7.7542200000000006E-2</v>
      </c>
      <c r="M127" s="27" t="str">
        <f>IF(data_export!D92=0, "", data_export!D92)</f>
        <v/>
      </c>
      <c r="N127" s="27" t="str">
        <f>IF(data_export!E92=0, "", data_export!E92)</f>
        <v/>
      </c>
      <c r="O127" s="27" t="str">
        <f>IF(data_export!F92=0, "", data_export!F92)</f>
        <v/>
      </c>
      <c r="P127" s="27">
        <f>IF(data_export!G92=0, "", data_export!G92)</f>
        <v>0.42245779999999999</v>
      </c>
      <c r="R127" s="27">
        <f>IF(data_export!H92=0, "", data_export!H92)</f>
        <v>1.5143000000000001E-3</v>
      </c>
      <c r="S127" s="27">
        <f>IF(data_export!I92=0, "", data_export!I92)</f>
        <v>1.001514</v>
      </c>
      <c r="T127" s="27">
        <f>IF(data_export!J92=0, "", data_export!J92)</f>
        <v>0.421819</v>
      </c>
    </row>
    <row r="128" spans="6:22" ht="10.199999999999999" customHeight="1" thickBot="1" x14ac:dyDescent="0.35"/>
    <row r="129" spans="6:22" ht="29.4" thickTop="1" x14ac:dyDescent="0.3">
      <c r="F129" s="32"/>
      <c r="G129" s="32"/>
      <c r="H129" s="32"/>
      <c r="I129" s="32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2"/>
      <c r="V129" s="32"/>
    </row>
  </sheetData>
  <mergeCells count="3">
    <mergeCell ref="J8:P8"/>
    <mergeCell ref="R8:S8"/>
    <mergeCell ref="M10:N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data_export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Beatrice Chen</cp:lastModifiedBy>
  <dcterms:created xsi:type="dcterms:W3CDTF">2015-06-05T18:17:20Z</dcterms:created>
  <dcterms:modified xsi:type="dcterms:W3CDTF">2025-10-23T00:44:18Z</dcterms:modified>
</cp:coreProperties>
</file>