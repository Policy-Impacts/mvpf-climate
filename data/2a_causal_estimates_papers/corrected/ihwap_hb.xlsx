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Regulation\code_files\2a_causal_estimates_papers\uncorrected_vJK\"/>
    </mc:Choice>
  </mc:AlternateContent>
  <xr:revisionPtr revIDLastSave="0" documentId="13_ncr:1_{0313FBEB-F5DB-4482-92AD-897F6AED786E}" xr6:coauthVersionLast="47" xr6:coauthVersionMax="47" xr10:uidLastSave="{00000000-0000-0000-0000-000000000000}"/>
  <bookViews>
    <workbookView xWindow="-110" yWindow="-110" windowWidth="19420" windowHeight="10420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<sst xmlns="http://schemas.openxmlformats.org/spreadsheetml/2006/main" xmlns:r="http://schemas.openxmlformats.org/officeDocument/2006/relationships" xmlns:xdr="http://schemas.openxmlformats.org/drawingml/2006/spreadsheetDrawing" count="147" uniqueCount="41">
  <si>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</si>
  <si>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</si>
  <si>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</si>
  <si>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</si>
  <si>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</si>
  <si>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</si>
  <si>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</si>
  <si>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</si>
  <si>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</si>
  <si>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</si>
  <si>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</si>
  <si>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</si>
  <si>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</si>
  <si>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</si>
  <si>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</si>
  <si>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</si>
  <si>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</si>
  <si>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</si>
  <si>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</si>
  <si>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</si>
  <si>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</si>
  <si>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</si>
  <si>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</si>
  <si>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</si>
  <si>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You (only) need to download the supplemental appendix, which you should have access to even if you can't download the article proper</t>
  </si>
  <si>
    <t>Table I.1 Column 4 Penultimate Row p. 29</t>
  </si>
  <si>
    <t>Baseline weatherization reduction, gas</t>
  </si>
  <si>
    <t xml:space="preserve">Table 4 Column 4 Penultimate Row, p. 34 </t>
  </si>
  <si>
    <t xml:space="preserve">Table 4 Column 4  Row 3, p. 34 </t>
  </si>
  <si>
    <t>Flip signs on all estimates</t>
  </si>
  <si>
    <t xml:space="preserve">multiply by -1 </t>
  </si>
  <si>
    <t>e_saved</t>
  </si>
  <si>
    <t>g_saved</t>
  </si>
  <si>
    <t>https://www.nber.org/system/files/working_papers/w31322/w31322.pdf</t>
  </si>
  <si>
    <t xml:space="preserve">weatharization x high treatment, gas </t>
  </si>
  <si>
    <t>Weatherization x high Treat, gas</t>
  </si>
  <si>
    <t>energy_saved_e</t>
  </si>
  <si>
    <t>energy_saved_g</t>
  </si>
  <si>
    <t xml:space="preserve">weatharization x high treatment, electricity </t>
  </si>
  <si>
    <t xml:space="preserve">Table I.4 Column 4 Last Row, p. 27 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</si>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</sst>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metadata.xml" Type="http://schemas.openxmlformats.org/officeDocument/2006/relationships/sheetMetadata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nber.org/system/files/working_papers/w31322/w31322.pdf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A5" sqref="A5:XFD5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35">
      <c r="A2" t="s">
        <v>37</v>
      </c>
      <c r="B2">
        <f>calculations!C4</f>
        <v>0.40200000000000002</v>
      </c>
      <c r="C2">
        <f>raw_data!C5</f>
        <v>0.151</v>
      </c>
      <c r="H2">
        <v>1</v>
      </c>
      <c r="I2">
        <v>1</v>
      </c>
      <c r="L2">
        <v>1</v>
      </c>
    </row>
    <row xmlns:x14ac="http://schemas.microsoft.com/office/spreadsheetml/2009/9/ac" r="3" x14ac:dyDescent="0.35">
      <c r="A3" t="s">
        <v>31</v>
      </c>
      <c r="B3">
        <f>calculations!C2</f>
        <v>0.47099999999999997</v>
      </c>
      <c r="C3">
        <f>raw_data!C3</f>
        <v>3.1300000000000001E-2</v>
      </c>
      <c r="H3">
        <v>1</v>
      </c>
      <c r="I3">
        <v>1</v>
      </c>
      <c r="L3">
        <v>1</v>
      </c>
    </row>
    <row xmlns:x14ac="http://schemas.microsoft.com/office/spreadsheetml/2009/9/ac" r="4" x14ac:dyDescent="0.35">
      <c r="A4" t="s">
        <v>32</v>
      </c>
      <c r="B4">
        <f>calculations!C3</f>
        <v>1.623</v>
      </c>
      <c r="C4">
        <f>raw_data!C4</f>
        <v>9.8199999999999996E-2</v>
      </c>
      <c r="H4">
        <v>1</v>
      </c>
      <c r="I4">
        <v>1</v>
      </c>
    </row>
    <row xmlns:x14ac="http://schemas.microsoft.com/office/spreadsheetml/2009/9/ac" r="5" x14ac:dyDescent="0.35">
      <c r="A5" t="s">
        <v>36</v>
      </c>
      <c r="B5">
        <f>calculations!C5</f>
        <v>6.5600000000000006E-2</v>
      </c>
      <c r="C5">
        <f>raw_data!C5</f>
        <v>0.151</v>
      </c>
      <c r="H5">
        <v>1</v>
      </c>
      <c r="I5">
        <v>1</v>
      </c>
      <c r="L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abSelected="true" workbookViewId="0">
      <selection activeCell="J6" sqref="J6"/>
    </sheetView>
  </sheetViews>
  <sheetFormatPr xmlns:x14ac="http://schemas.microsoft.com/office/spreadsheetml/2009/9/ac" defaultColWidth="8.7265625" defaultRowHeight="14.5" x14ac:dyDescent="0.35"/>
  <cols>
    <col min="1" max="1" width="27.7265625" style="2" customWidth="true"/>
    <col min="2" max="2" width="9.81640625" style="2" bestFit="true" customWidth="true"/>
    <col min="3" max="7" width="8.7265625" style="2"/>
    <col min="8" max="8" width="12" style="2" customWidth="true"/>
    <col min="9" max="9" width="8.7265625" style="2"/>
    <col min="10" max="10" width="9.1796875" customWidth="true"/>
    <col min="11" max="16384" width="8.7265625" style="2"/>
  </cols>
  <sheetData>
    <row xmlns:x14ac="http://schemas.microsoft.com/office/spreadsheetml/2009/9/ac" r="1" x14ac:dyDescent="0.35">
      <c r="A1" s="3" t="s">
        <v>40</v>
      </c>
      <c r="B1" s="10"/>
      <c r="C1" s="10"/>
      <c r="D1" s="10"/>
      <c r="E1" s="2" t="s">
        <v>40</v>
      </c>
      <c r="F1" s="2" t="s">
        <v>40</v>
      </c>
      <c r="G1" s="2" t="s">
        <v>40</v>
      </c>
      <c r="H1" s="10"/>
      <c r="I1" s="10"/>
      <c r="J1" t="s">
        <v>40</v>
      </c>
    </row>
    <row xmlns:x14ac="http://schemas.microsoft.com/office/spreadsheetml/2009/9/ac" r="2" ht="29" x14ac:dyDescent="0.35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</row>
    <row xmlns:x14ac="http://schemas.microsoft.com/office/spreadsheetml/2009/9/ac" r="3" ht="29" x14ac:dyDescent="0.35">
      <c r="A3" s="2" t="s">
        <v>34</v>
      </c>
      <c r="B3" s="10">
        <v>-0.47099998593330383</v>
      </c>
      <c r="C3" s="10">
        <v>0.031300000000000001</v>
      </c>
      <c r="D3" s="10"/>
      <c r="E3" s="2" t="s">
        <v>40</v>
      </c>
      <c r="F3" s="2" t="s">
        <v>40</v>
      </c>
      <c r="G3" s="2" t="s">
        <v>40</v>
      </c>
      <c r="H3" s="10">
        <v>1</v>
      </c>
      <c r="I3" s="10">
        <v>1</v>
      </c>
      <c r="J3" t="s">
        <v>25</v>
      </c>
    </row>
    <row xmlns:x14ac="http://schemas.microsoft.com/office/spreadsheetml/2009/9/ac" r="4" ht="29" x14ac:dyDescent="0.35">
      <c r="A4" s="2" t="s">
        <v>26</v>
      </c>
      <c r="B4" s="10">
        <v>-1.6230000257492065</v>
      </c>
      <c r="C4" s="10">
        <v>0.098199999999999996</v>
      </c>
      <c r="D4" s="10"/>
      <c r="E4" s="2" t="s">
        <v>40</v>
      </c>
      <c r="F4" s="2" t="s">
        <v>40</v>
      </c>
      <c r="G4" s="2" t="s">
        <v>40</v>
      </c>
      <c r="H4" s="10">
        <v>1</v>
      </c>
      <c r="I4" s="10">
        <v>1</v>
      </c>
      <c r="J4" t="s">
        <v>27</v>
      </c>
    </row>
    <row xmlns:x14ac="http://schemas.microsoft.com/office/spreadsheetml/2009/9/ac" r="5" x14ac:dyDescent="0.35">
      <c r="A5" s="2" t="s">
        <v>35</v>
      </c>
      <c r="B5" s="10">
        <v>-0.36952179670333862</v>
      </c>
      <c r="C5" s="10">
        <v>0.151</v>
      </c>
      <c r="D5" s="10"/>
      <c r="E5" s="2" t="s">
        <v>40</v>
      </c>
      <c r="F5" s="2" t="s">
        <v>40</v>
      </c>
      <c r="G5" s="2" t="s">
        <v>40</v>
      </c>
      <c r="H5" s="10">
        <v>1</v>
      </c>
      <c r="I5" s="10">
        <v>1</v>
      </c>
      <c r="J5" t="s">
        <v>28</v>
      </c>
    </row>
    <row xmlns:x14ac="http://schemas.microsoft.com/office/spreadsheetml/2009/9/ac" r="6" ht="29" x14ac:dyDescent="0.35">
      <c r="A6" s="2" t="s">
        <v>38</v>
      </c>
      <c r="B6" s="10">
        <v>-0.053194385021924973</v>
      </c>
      <c r="C6" s="10">
        <v>0.071300000000000002</v>
      </c>
      <c r="D6" s="10"/>
      <c r="E6" s="2" t="s">
        <v>40</v>
      </c>
      <c r="F6" s="2" t="s">
        <v>40</v>
      </c>
      <c r="G6" s="2" t="s">
        <v>40</v>
      </c>
      <c r="H6" s="10">
        <v>1</v>
      </c>
      <c r="I6" s="10">
        <v>1</v>
      </c>
      <c r="J6" t="s">
        <v>39</v>
      </c>
    </row>
    <row xmlns:x14ac="http://schemas.microsoft.com/office/spreadsheetml/2009/9/ac" r="7" x14ac:dyDescent="0.35">
      <c r="A7" s="4" t="s">
        <v>20</v>
      </c>
      <c r="B7" s="10"/>
      <c r="C7" s="10"/>
      <c r="D7" s="10"/>
      <c r="E7" s="5" t="s">
        <v>40</v>
      </c>
      <c r="F7" s="2" t="s">
        <v>40</v>
      </c>
      <c r="G7" s="2" t="s">
        <v>40</v>
      </c>
      <c r="H7" s="10"/>
      <c r="I7" s="10"/>
      <c r="J7" t="s">
        <v>40</v>
      </c>
    </row>
    <row xmlns:x14ac="http://schemas.microsoft.com/office/spreadsheetml/2009/9/ac" r="8" x14ac:dyDescent="0.35">
      <c r="A8" s="5" t="s">
        <v>15</v>
      </c>
      <c r="B8" s="10"/>
      <c r="C8" s="10"/>
      <c r="D8" s="10"/>
      <c r="E8" s="5" t="s">
        <v>40</v>
      </c>
      <c r="F8" s="2" t="s">
        <v>40</v>
      </c>
      <c r="G8" s="2" t="s">
        <v>40</v>
      </c>
      <c r="H8" s="10"/>
      <c r="I8" s="10"/>
      <c r="J8" t="s">
        <v>40</v>
      </c>
    </row>
    <row xmlns:x14ac="http://schemas.microsoft.com/office/spreadsheetml/2009/9/ac" r="9" x14ac:dyDescent="0.35">
      <c r="A9" s="5" t="s">
        <v>16</v>
      </c>
      <c r="B9" s="10"/>
      <c r="C9" s="10"/>
      <c r="D9" s="10"/>
      <c r="E9" s="5" t="s">
        <v>40</v>
      </c>
      <c r="F9" s="2" t="s">
        <v>40</v>
      </c>
      <c r="G9" s="2" t="s">
        <v>40</v>
      </c>
      <c r="H9" s="10"/>
      <c r="I9" s="10"/>
      <c r="J9" t="s">
        <v>40</v>
      </c>
    </row>
    <row xmlns:x14ac="http://schemas.microsoft.com/office/spreadsheetml/2009/9/ac" r="10" x14ac:dyDescent="0.35">
      <c r="A10" s="5" t="s">
        <v>18</v>
      </c>
      <c r="B10" s="10"/>
      <c r="C10" s="10"/>
      <c r="D10" s="10"/>
      <c r="E10" s="5" t="s">
        <v>40</v>
      </c>
      <c r="F10" s="2" t="s">
        <v>40</v>
      </c>
      <c r="G10" s="2" t="s">
        <v>40</v>
      </c>
      <c r="H10" s="10"/>
      <c r="I10" s="10"/>
      <c r="J10" t="s">
        <v>40</v>
      </c>
    </row>
    <row xmlns:x14ac="http://schemas.microsoft.com/office/spreadsheetml/2009/9/ac" r="11" x14ac:dyDescent="0.35">
      <c r="A11" s="5" t="s">
        <v>19</v>
      </c>
      <c r="B11" s="10"/>
      <c r="C11" s="10"/>
      <c r="D11" s="10"/>
      <c r="E11" s="2" t="s">
        <v>40</v>
      </c>
      <c r="F11" s="2" t="s">
        <v>40</v>
      </c>
      <c r="G11" s="2" t="s">
        <v>40</v>
      </c>
      <c r="H11" s="10"/>
      <c r="I11" s="10"/>
      <c r="J11" t="s">
        <v>40</v>
      </c>
    </row>
    <row xmlns:x14ac="http://schemas.microsoft.com/office/spreadsheetml/2009/9/ac" r="12" x14ac:dyDescent="0.35">
      <c r="A12" s="3" t="s">
        <v>40</v>
      </c>
      <c r="B12" s="10"/>
      <c r="C12" s="10"/>
      <c r="D12" s="10"/>
      <c r="E12" s="2" t="s">
        <v>40</v>
      </c>
      <c r="F12" s="2" t="s">
        <v>40</v>
      </c>
      <c r="G12" s="2" t="s">
        <v>40</v>
      </c>
      <c r="H12" s="10"/>
      <c r="I12" s="10"/>
      <c r="J12" t="s">
        <v>40</v>
      </c>
    </row>
    <row xmlns:x14ac="http://schemas.microsoft.com/office/spreadsheetml/2009/9/ac" r="13" x14ac:dyDescent="0.35">
      <c r="A13" s="1" t="s">
        <v>40</v>
      </c>
      <c r="B13" s="10"/>
      <c r="C13" s="10"/>
      <c r="D13" s="10"/>
      <c r="E13" s="1" t="s">
        <v>40</v>
      </c>
      <c r="F13" s="1" t="s">
        <v>40</v>
      </c>
      <c r="G13" s="1" t="s">
        <v>40</v>
      </c>
      <c r="H13" s="10"/>
      <c r="I13" s="10"/>
      <c r="J13" s="8" t="s">
        <v>40</v>
      </c>
    </row>
    <row r="14">
      <c r="A14" s="2" t="s">
        <v>40</v>
      </c>
      <c r="B14" s="10"/>
      <c r="C14" s="10"/>
      <c r="D14" s="10"/>
      <c r="E14" s="2" t="s">
        <v>40</v>
      </c>
      <c r="F14" s="2" t="s">
        <v>40</v>
      </c>
      <c r="G14" s="2" t="s">
        <v>40</v>
      </c>
      <c r="H14" s="10"/>
      <c r="I14" s="10"/>
      <c r="J14" t="s">
        <v>40</v>
      </c>
    </row>
    <row r="15">
      <c r="A15" s="2" t="s">
        <v>40</v>
      </c>
      <c r="B15" s="10"/>
      <c r="C15" s="10"/>
      <c r="D15" s="10"/>
      <c r="E15" s="2" t="s">
        <v>40</v>
      </c>
      <c r="F15" s="2" t="s">
        <v>40</v>
      </c>
      <c r="G15" s="2" t="s">
        <v>40</v>
      </c>
      <c r="H15" s="10"/>
      <c r="I15" s="10"/>
      <c r="J15" t="s">
        <v>40</v>
      </c>
    </row>
    <row xmlns:x14ac="http://schemas.microsoft.com/office/spreadsheetml/2009/9/ac" r="16" x14ac:dyDescent="0.35">
      <c r="A16" s="4" t="s">
        <v>40</v>
      </c>
      <c r="B16" s="10"/>
      <c r="C16" s="10"/>
      <c r="D16" s="10"/>
      <c r="E16" s="2" t="s">
        <v>40</v>
      </c>
      <c r="F16" s="2" t="s">
        <v>40</v>
      </c>
      <c r="G16" s="2" t="s">
        <v>40</v>
      </c>
      <c r="H16" s="10"/>
      <c r="I16" s="10"/>
      <c r="J16" t="s">
        <v>40</v>
      </c>
    </row>
    <row xmlns:x14ac="http://schemas.microsoft.com/office/spreadsheetml/2009/9/ac" r="17" x14ac:dyDescent="0.35">
      <c r="A17" s="5" t="s">
        <v>40</v>
      </c>
      <c r="B17" s="10"/>
      <c r="C17" s="10"/>
      <c r="D17" s="10"/>
      <c r="E17" s="2" t="s">
        <v>40</v>
      </c>
      <c r="F17" s="2" t="s">
        <v>40</v>
      </c>
      <c r="G17" s="2" t="s">
        <v>40</v>
      </c>
      <c r="H17" s="10"/>
      <c r="I17" s="10"/>
      <c r="J17" t="s">
        <v>40</v>
      </c>
    </row>
    <row xmlns:x14ac="http://schemas.microsoft.com/office/spreadsheetml/2009/9/ac" r="18" x14ac:dyDescent="0.35">
      <c r="A18" s="5" t="s">
        <v>40</v>
      </c>
      <c r="B18" s="10"/>
      <c r="C18" s="10"/>
      <c r="D18" s="10"/>
      <c r="E18" s="2" t="s">
        <v>40</v>
      </c>
      <c r="F18" s="2" t="s">
        <v>40</v>
      </c>
      <c r="G18" s="2" t="s">
        <v>40</v>
      </c>
      <c r="H18" s="10"/>
      <c r="I18" s="10"/>
      <c r="J18" t="s">
        <v>40</v>
      </c>
    </row>
    <row xmlns:x14ac="http://schemas.microsoft.com/office/spreadsheetml/2009/9/ac" r="19" x14ac:dyDescent="0.35">
      <c r="A19" s="5" t="s">
        <v>40</v>
      </c>
      <c r="B19" s="10"/>
      <c r="C19" s="10"/>
      <c r="D19" s="10"/>
      <c r="E19" s="2" t="s">
        <v>40</v>
      </c>
      <c r="F19" s="2" t="s">
        <v>40</v>
      </c>
      <c r="G19" s="2" t="s">
        <v>40</v>
      </c>
      <c r="H19" s="10"/>
      <c r="I19" s="10"/>
      <c r="J19" t="s">
        <v>40</v>
      </c>
    </row>
    <row xmlns:x14ac="http://schemas.microsoft.com/office/spreadsheetml/2009/9/ac" r="20" x14ac:dyDescent="0.35">
      <c r="A20" s="5" t="s">
        <v>40</v>
      </c>
      <c r="B20" s="10"/>
      <c r="C20" s="10"/>
      <c r="D20" s="10"/>
      <c r="E20" s="2" t="s">
        <v>40</v>
      </c>
      <c r="F20" s="2" t="s">
        <v>40</v>
      </c>
      <c r="G20" s="2" t="s">
        <v>40</v>
      </c>
      <c r="H20" s="10"/>
      <c r="I20" s="10"/>
      <c r="J20" t="s">
        <v>40</v>
      </c>
    </row>
  </sheetData>
  <hyperlinks>
    <hyperlink ref="B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C3" sqref="C3"/>
    </sheetView>
  </sheetViews>
  <sheetFormatPr xmlns:x14ac="http://schemas.microsoft.com/office/spreadsheetml/2009/9/ac" defaultColWidth="8.7265625" defaultRowHeight="14.5" x14ac:dyDescent="0.35"/>
  <cols>
    <col min="1" max="1" width="24.54296875" style="1" customWidth="true"/>
    <col min="2" max="2" width="45.7265625" style="1" customWidth="true"/>
    <col min="3" max="3" width="10.81640625" style="1" customWidth="true"/>
    <col min="4" max="16384" width="8.7265625" style="2"/>
  </cols>
  <sheetData>
    <row xmlns:x14ac="http://schemas.microsoft.com/office/spreadsheetml/2009/9/ac" r="1" x14ac:dyDescent="0.3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35">
      <c r="A2" s="2" t="s">
        <v>29</v>
      </c>
      <c r="B2" s="2" t="s">
        <v>30</v>
      </c>
      <c r="C2" s="2" cm="1">
        <f t="array" ref="C2:C5">-1*raw_data!B3:B6</f>
        <v>0.47099999999999997</v>
      </c>
    </row>
    <row xmlns:x14ac="http://schemas.microsoft.com/office/spreadsheetml/2009/9/ac" r="3" x14ac:dyDescent="0.35">
      <c r="A3" s="2"/>
      <c r="B3" s="2"/>
      <c r="C3" s="2">
        <v>1.623</v>
      </c>
    </row>
    <row xmlns:x14ac="http://schemas.microsoft.com/office/spreadsheetml/2009/9/ac" r="4" x14ac:dyDescent="0.35">
      <c r="A4" s="2"/>
      <c r="B4" s="2"/>
      <c r="C4" s="2">
        <v>0.40200000000000002</v>
      </c>
    </row>
    <row xmlns:x14ac="http://schemas.microsoft.com/office/spreadsheetml/2009/9/ac" r="5" x14ac:dyDescent="0.35">
      <c r="A5" s="2"/>
      <c r="B5" s="2"/>
      <c r="C5" s="2">
        <v>6.5600000000000006E-2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2024-06-27T15:26:22Z</dcterms:modified>
</cp:coreProperties>
</file>