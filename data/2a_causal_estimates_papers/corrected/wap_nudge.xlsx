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gk422\Opportunity Insights Dropbox\Jack Kelly\Regulation\code_files\2a_causal_estimates_papers\uncorrected_vJK\"/>
    </mc:Choice>
  </mc:AlternateContent>
  <xr:revisionPtr revIDLastSave="0" documentId="13_ncr:1_{C0F565B2-90F3-42C2-8557-2C92CA769203}" xr6:coauthVersionLast="47" xr6:coauthVersionMax="47" xr10:uidLastSave="{00000000-0000-0000-0000-000000000000}"/>
  <bookViews>
    <workbookView xWindow="-110" yWindow="-110" windowWidth="19420" windowHeight="10420"/>
  </bookViews>
  <sheets>
    <sheet name="wrapper_ready" sheetId="1" r:id="rId1"/>
    <sheet name="raw_data" sheetId="2" r:id="rId2"/>
    <sheet name="calculations" sheetId="3" r:id="rId3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<sst xmlns="http://schemas.openxmlformats.org/spreadsheetml/2006/main" xmlns:r="http://schemas.openxmlformats.org/officeDocument/2006/relationships" xmlns:xdr="http://schemas.openxmlformats.org/drawingml/2006/spreadsheetDrawing" count="192" uniqueCount="37">
  <si>
    <t>estimate</t>
  </si>
  <si>
    <t>pe</t>
  </si>
  <si>
    <t>se</t>
  </si>
  <si>
    <t>t_stat</t>
  </si>
  <si>
    <t>p_value</t>
  </si>
  <si>
    <t>ci_lo</t>
  </si>
  <si>
    <t>ci_hi</t>
  </si>
  <si>
    <t>in_baseline</t>
  </si>
  <si>
    <t>primary_estimate</t>
  </si>
  <si>
    <t>selection</t>
  </si>
  <si>
    <t>mvpf_effect</t>
  </si>
  <si>
    <t>corr_direction</t>
  </si>
  <si>
    <t>source</t>
  </si>
  <si>
    <t>pub_bias</t>
  </si>
  <si>
    <t>expected_sign</t>
  </si>
  <si>
    <t>Link to PDF:</t>
  </si>
  <si>
    <t>Downloaded:</t>
  </si>
  <si>
    <t>Jack</t>
  </si>
  <si>
    <t>Point of contact:</t>
  </si>
  <si>
    <t>Notes:</t>
  </si>
  <si>
    <t xml:space="preserve">Source Info </t>
  </si>
  <si>
    <t>Calculation</t>
  </si>
  <si>
    <t>Description</t>
  </si>
  <si>
    <t xml:space="preserve">Value </t>
  </si>
  <si>
    <t>https://academic.oup.com/qje/article-abstract/133/3/1597/4828342?redirectedFrom=PDF&amp;casa_token=TI8m37ECrhQAAAAA:T9HsDUgYhPWsCFN4Ox0DGME3eORf6o_HTwerUl4j394_bBQ3K3WbeG8HqaRd9mF4MxnYLQtP5ziP</t>
  </si>
  <si>
    <t>Percent change in consumption of electricity from WAP, IV-FE</t>
  </si>
  <si>
    <t>Percent change in consumption of gas from WAP, IV-FE</t>
  </si>
  <si>
    <t>Table IV Column 3 Row 1 p. 1622</t>
  </si>
  <si>
    <t>Table IV Column 4 Row 1 p. 1622</t>
  </si>
  <si>
    <t>None</t>
  </si>
  <si>
    <t>electricity_reduction</t>
  </si>
  <si>
    <t>gas_reduction</t>
  </si>
  <si>
    <t>encouragement</t>
  </si>
  <si>
    <t>Encouragement on Weatherization</t>
  </si>
  <si>
    <t>Table 3 Column 3 Row 2 , p. 1619</t>
  </si>
  <si>
    <t/>
  </si>
  <si>
    <t>.01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</si>
</sst>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i/>
      <u/>
      <sz val="11"/>
      <color rgb="FF7F7F7F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"/>
        <bgColor indexed="65"/>
      </patternFill>
    </fill>
    <fill>
      <patternFill patternType="solid">
        <fgColor theme="4" tint="0.5999938962981"/>
        <bgColor indexed="65"/>
      </patternFill>
    </fill>
    <fill>
      <patternFill patternType="solid">
        <fgColor theme="4" tint="0.3999755851924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"/>
        <bgColor indexed="65"/>
      </patternFill>
    </fill>
    <fill>
      <patternFill patternType="solid">
        <fgColor theme="5" tint="0.5999938962981"/>
        <bgColor indexed="65"/>
      </patternFill>
    </fill>
    <fill>
      <patternFill patternType="solid">
        <fgColor theme="5" tint="0.3999755851924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"/>
        <bgColor indexed="65"/>
      </patternFill>
    </fill>
    <fill>
      <patternFill patternType="solid">
        <fgColor theme="6" tint="0.5999938962981"/>
        <bgColor indexed="65"/>
      </patternFill>
    </fill>
    <fill>
      <patternFill patternType="solid">
        <fgColor theme="6" tint="0.3999755851924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"/>
        <bgColor indexed="65"/>
      </patternFill>
    </fill>
    <fill>
      <patternFill patternType="solid">
        <fgColor theme="7" tint="0.5999938962981"/>
        <bgColor indexed="65"/>
      </patternFill>
    </fill>
    <fill>
      <patternFill patternType="solid">
        <fgColor theme="7" tint="0.3999755851924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"/>
        <bgColor indexed="65"/>
      </patternFill>
    </fill>
    <fill>
      <patternFill patternType="solid">
        <fgColor theme="8" tint="0.5999938962981"/>
        <bgColor indexed="65"/>
      </patternFill>
    </fill>
    <fill>
      <patternFill patternType="solid">
        <fgColor theme="8" tint="0.3999755851924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"/>
        <bgColor indexed="65"/>
      </patternFill>
    </fill>
    <fill>
      <patternFill patternType="solid">
        <fgColor theme="9" tint="0.5999938962981"/>
        <bgColor indexed="65"/>
      </patternFill>
    </fill>
    <fill>
      <patternFill patternType="solid">
        <fgColor theme="9" tint="0.39997558519242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"/>
      </bottom>
      <diagonal/>
    </border>
    <border>
      <left/>
      <right/>
      <top/>
      <bottom style="medium">
        <color theme="4" tint="0.3999755851924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/>
  </borders>
  <cellStyleXfs count="43">
    <xf numFmtId="0" fontId="0" fillId="0" borderId="0"/>
    <xf numFmtId="0" fontId="2" fillId="0" borderId="0" applyNumberFormat="false" applyFill="false" applyBorder="false" applyAlignment="false" applyProtection="false"/>
    <xf numFmtId="0" fontId="3" fillId="0" borderId="1" applyNumberFormat="false" applyFill="false" applyAlignment="false" applyProtection="false"/>
    <xf numFmtId="0" fontId="4" fillId="0" borderId="2" applyNumberFormat="false" applyFill="false" applyAlignment="false" applyProtection="false"/>
    <xf numFmtId="0" fontId="5" fillId="0" borderId="3" applyNumberFormat="false" applyFill="false" applyAlignment="false" applyProtection="false"/>
    <xf numFmtId="0" fontId="5" fillId="0" borderId="0" applyNumberFormat="false" applyFill="false" applyBorder="false" applyAlignment="false" applyProtection="false"/>
    <xf numFmtId="0" fontId="6" fillId="2" borderId="0" applyNumberFormat="false" applyBorder="false" applyAlignment="false" applyProtection="false"/>
    <xf numFmtId="0" fontId="7" fillId="3" borderId="0" applyNumberFormat="false" applyBorder="false" applyAlignment="false" applyProtection="false"/>
    <xf numFmtId="0" fontId="8" fillId="4" borderId="0" applyNumberFormat="false" applyBorder="false" applyAlignment="false" applyProtection="false"/>
    <xf numFmtId="0" fontId="9" fillId="5" borderId="4" applyNumberFormat="false" applyAlignment="false" applyProtection="false"/>
    <xf numFmtId="0" fontId="10" fillId="6" borderId="5" applyNumberFormat="false" applyAlignment="false" applyProtection="false"/>
    <xf numFmtId="0" fontId="11" fillId="6" borderId="4" applyNumberFormat="false" applyAlignment="false" applyProtection="false"/>
    <xf numFmtId="0" fontId="12" fillId="0" borderId="6" applyNumberFormat="false" applyFill="false" applyAlignment="false" applyProtection="false"/>
    <xf numFmtId="0" fontId="13" fillId="7" borderId="7" applyNumberFormat="false" applyAlignment="false" applyProtection="false"/>
    <xf numFmtId="0" fontId="14" fillId="0" borderId="0" applyNumberFormat="false" applyFill="false" applyBorder="false" applyAlignment="false" applyProtection="false"/>
    <xf numFmtId="0" fontId="1" fillId="8" borderId="8" applyNumberFormat="false" applyFont="false" applyAlignment="false" applyProtection="false"/>
    <xf numFmtId="0" fontId="15" fillId="0" borderId="0" applyNumberFormat="false" applyFill="false" applyBorder="false" applyAlignment="false" applyProtection="false"/>
    <xf numFmtId="0" fontId="16" fillId="0" borderId="9" applyNumberFormat="false" applyFill="false" applyAlignment="false" applyProtection="false"/>
    <xf numFmtId="0" fontId="17" fillId="9" borderId="0" applyNumberFormat="false" applyBorder="false" applyAlignment="false" applyProtection="false"/>
    <xf numFmtId="0" fontId="1" fillId="10" borderId="0" applyNumberFormat="false" applyBorder="false" applyAlignment="false" applyProtection="false"/>
    <xf numFmtId="0" fontId="1" fillId="11" borderId="0" applyNumberFormat="false" applyBorder="false" applyAlignment="false" applyProtection="false"/>
    <xf numFmtId="0" fontId="1" fillId="12" borderId="0" applyNumberFormat="false" applyBorder="false" applyAlignment="false" applyProtection="false"/>
    <xf numFmtId="0" fontId="17" fillId="13" borderId="0" applyNumberFormat="false" applyBorder="false" applyAlignment="false" applyProtection="false"/>
    <xf numFmtId="0" fontId="1" fillId="14" borderId="0" applyNumberFormat="false" applyBorder="false" applyAlignment="false" applyProtection="false"/>
    <xf numFmtId="0" fontId="1" fillId="15" borderId="0" applyNumberFormat="false" applyBorder="false" applyAlignment="false" applyProtection="false"/>
    <xf numFmtId="0" fontId="1" fillId="16" borderId="0" applyNumberFormat="false" applyBorder="false" applyAlignment="false" applyProtection="false"/>
    <xf numFmtId="0" fontId="17" fillId="17" borderId="0" applyNumberFormat="false" applyBorder="false" applyAlignment="false" applyProtection="false"/>
    <xf numFmtId="0" fontId="1" fillId="18" borderId="0" applyNumberFormat="false" applyBorder="false" applyAlignment="false" applyProtection="false"/>
    <xf numFmtId="0" fontId="1" fillId="19" borderId="0" applyNumberFormat="false" applyBorder="false" applyAlignment="false" applyProtection="false"/>
    <xf numFmtId="0" fontId="1" fillId="20" borderId="0" applyNumberFormat="false" applyBorder="false" applyAlignment="false" applyProtection="false"/>
    <xf numFmtId="0" fontId="17" fillId="21" borderId="0" applyNumberFormat="false" applyBorder="false" applyAlignment="false" applyProtection="false"/>
    <xf numFmtId="0" fontId="1" fillId="22" borderId="0" applyNumberFormat="false" applyBorder="false" applyAlignment="false" applyProtection="false"/>
    <xf numFmtId="0" fontId="1" fillId="23" borderId="0" applyNumberFormat="false" applyBorder="false" applyAlignment="false" applyProtection="false"/>
    <xf numFmtId="0" fontId="1" fillId="24" borderId="0" applyNumberFormat="false" applyBorder="false" applyAlignment="false" applyProtection="false"/>
    <xf numFmtId="0" fontId="17" fillId="25" borderId="0" applyNumberFormat="false" applyBorder="false" applyAlignment="false" applyProtection="false"/>
    <xf numFmtId="0" fontId="1" fillId="26" borderId="0" applyNumberFormat="false" applyBorder="false" applyAlignment="false" applyProtection="false"/>
    <xf numFmtId="0" fontId="1" fillId="27" borderId="0" applyNumberFormat="false" applyBorder="false" applyAlignment="false" applyProtection="false"/>
    <xf numFmtId="0" fontId="1" fillId="28" borderId="0" applyNumberFormat="false" applyBorder="false" applyAlignment="false" applyProtection="false"/>
    <xf numFmtId="0" fontId="17" fillId="29" borderId="0" applyNumberFormat="false" applyBorder="false" applyAlignment="false" applyProtection="false"/>
    <xf numFmtId="0" fontId="1" fillId="30" borderId="0" applyNumberFormat="false" applyBorder="false" applyAlignment="false" applyProtection="false"/>
    <xf numFmtId="0" fontId="1" fillId="31" borderId="0" applyNumberFormat="false" applyBorder="false" applyAlignment="false" applyProtection="false"/>
    <xf numFmtId="0" fontId="1" fillId="32" borderId="0" applyNumberFormat="false" applyBorder="false" applyAlignment="false" applyProtection="false"/>
    <xf numFmtId="0" fontId="20" fillId="0" borderId="0" applyNumberFormat="false" applyFill="false" applyBorder="false" applyAlignment="false" applyProtection="false"/>
  </cellStyleXfs>
  <cellXfs count="12">
    <xf numFmtId="0" fontId="0" fillId="0" borderId="0" xfId="0"/>
    <xf numFmtId="0" fontId="18" fillId="0" borderId="0" xfId="0" applyFont="true" applyAlignment="true">
      <alignment wrapText="true"/>
    </xf>
    <xf numFmtId="0" fontId="0" fillId="0" borderId="0" xfId="0" applyAlignment="true">
      <alignment wrapText="true"/>
    </xf>
    <xf numFmtId="0" fontId="16" fillId="0" borderId="0" xfId="0" applyFont="true" applyAlignment="true">
      <alignment wrapText="true"/>
    </xf>
    <xf numFmtId="0" fontId="19" fillId="0" borderId="0" xfId="16" applyFont="true" applyAlignment="true">
      <alignment wrapText="true"/>
    </xf>
    <xf numFmtId="0" fontId="15" fillId="0" borderId="0" xfId="16" applyAlignment="true">
      <alignment wrapText="true"/>
    </xf>
    <xf numFmtId="14" fontId="15" fillId="0" borderId="0" xfId="16" applyNumberFormat="true" applyAlignment="true">
      <alignment wrapText="true"/>
    </xf>
    <xf numFmtId="0" fontId="15" fillId="0" borderId="0" xfId="16" applyAlignment="true"/>
    <xf numFmtId="0" fontId="18" fillId="0" borderId="0" xfId="0" applyFont="true"/>
    <xf numFmtId="14" fontId="0" fillId="0" borderId="0" xfId="0" applyNumberFormat="true" applyAlignment="true">
      <alignment wrapText="true"/>
    </xf>
    <xf numFmtId="0" fontId="20" fillId="0" borderId="0" xfId="42" applyAlignment="true"/>
    <xf numFmtId="1" fontId="0" fillId="0" borderId="10" xfId="0" applyNumberFormat="true"/>
  </cellXfs>
  <cellStyles count="43">
    <cellStyle name="20% - Accent1" xfId="19" builtinId="30" customBuiltin="true"/>
    <cellStyle name="20% - Accent2" xfId="23" builtinId="34" customBuiltin="true"/>
    <cellStyle name="20% - Accent3" xfId="27" builtinId="38" customBuiltin="true"/>
    <cellStyle name="20% - Accent4" xfId="31" builtinId="42" customBuiltin="true"/>
    <cellStyle name="20% - Accent5" xfId="35" builtinId="46" customBuiltin="true"/>
    <cellStyle name="20% - Accent6" xfId="39" builtinId="50" customBuiltin="true"/>
    <cellStyle name="40% - Accent1" xfId="20" builtinId="31" customBuiltin="true"/>
    <cellStyle name="40% - Accent2" xfId="24" builtinId="35" customBuiltin="true"/>
    <cellStyle name="40% - Accent3" xfId="28" builtinId="39" customBuiltin="true"/>
    <cellStyle name="40% - Accent4" xfId="32" builtinId="43" customBuiltin="true"/>
    <cellStyle name="40% - Accent5" xfId="36" builtinId="47" customBuiltin="true"/>
    <cellStyle name="40% - Accent6" xfId="40" builtinId="51" customBuiltin="true"/>
    <cellStyle name="60% - Accent1" xfId="21" builtinId="32" customBuiltin="true"/>
    <cellStyle name="60% - Accent2" xfId="25" builtinId="36" customBuiltin="true"/>
    <cellStyle name="60% - Accent3" xfId="29" builtinId="40" customBuiltin="true"/>
    <cellStyle name="60% - Accent4" xfId="33" builtinId="44" customBuiltin="true"/>
    <cellStyle name="60% - Accent5" xfId="37" builtinId="48" customBuiltin="true"/>
    <cellStyle name="60% - Accent6" xfId="41" builtinId="52" customBuiltin="true"/>
    <cellStyle name="Accent1" xfId="18" builtinId="29" customBuiltin="true"/>
    <cellStyle name="Accent2" xfId="22" builtinId="33" customBuiltin="true"/>
    <cellStyle name="Accent3" xfId="26" builtinId="37" customBuiltin="true"/>
    <cellStyle name="Accent4" xfId="30" builtinId="41" customBuiltin="true"/>
    <cellStyle name="Accent5" xfId="34" builtinId="45" customBuiltin="true"/>
    <cellStyle name="Accent6" xfId="38" builtinId="49" customBuiltin="true"/>
    <cellStyle name="Bad" xfId="7" builtinId="27" customBuiltin="true"/>
    <cellStyle name="Calculation" xfId="11" builtinId="22" customBuiltin="true"/>
    <cellStyle name="Check Cell" xfId="13" builtinId="23" customBuiltin="true"/>
    <cellStyle name="Explanatory Text" xfId="16" builtinId="53" customBuiltin="true"/>
    <cellStyle name="Good" xfId="6" builtinId="26" customBuiltin="true"/>
    <cellStyle name="Heading 1" xfId="2" builtinId="16" customBuiltin="true"/>
    <cellStyle name="Heading 2" xfId="3" builtinId="17" customBuiltin="true"/>
    <cellStyle name="Heading 3" xfId="4" builtinId="18" customBuiltin="true"/>
    <cellStyle name="Heading 4" xfId="5" builtinId="19" customBuiltin="true"/>
    <cellStyle name="Hyperlink" xfId="42" builtinId="8"/>
    <cellStyle name="Input" xfId="9" builtinId="20" customBuiltin="true"/>
    <cellStyle name="Linked Cell" xfId="12" builtinId="24" customBuiltin="true"/>
    <cellStyle name="Neutral" xfId="8" builtinId="28" customBuiltin="true"/>
    <cellStyle name="Normal" xfId="0" builtinId="0"/>
    <cellStyle name="Note" xfId="15" builtinId="10" customBuiltin="true"/>
    <cellStyle name="Output" xfId="10" builtinId="21" customBuiltin="true"/>
    <cellStyle name="Title" xfId="1" builtinId="15" customBuiltin="true"/>
    <cellStyle name="Total" xfId="17" builtinId="25" customBuiltin="true"/>
    <cellStyle name="Warning Text" xfId="14" builtinId="11" customBuiltin="true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3.xml" Type="http://schemas.openxmlformats.org/officeDocument/2006/relationships/worksheet" Id="rId3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6"/><Relationship Target="styles.xml" Type="http://schemas.openxmlformats.org/officeDocument/2006/relationships/styles" Id="rId5"/><Relationship Target="theme/theme1.xml" Type="http://schemas.openxmlformats.org/officeDocument/2006/relationships/theme" Id="rId4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?><Relationships xmlns="http://schemas.openxmlformats.org/package/2006/relationships"><Relationship TargetMode="External" Target="https://academic.oup.com/qje/article-abstract/133/3/1597/4828342?redirectedFrom=PDF&amp;casa_token=TI8m37ECrhQAAAAA:T9HsDUgYhPWsCFN4Ox0DGME3eORf6o_HTwerUl4j394_bBQ3K3WbeG8HqaRd9mF4MxnYLQtP5ziP" Type="http://schemas.openxmlformats.org/officeDocument/2006/relationships/hyperlink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"/>
  <sheetViews>
    <sheetView tabSelected="true" workbookViewId="0">
      <selection activeCell="L5" sqref="L5"/>
    </sheetView>
  </sheetViews>
  <sheetFormatPr xmlns:x14ac="http://schemas.microsoft.com/office/spreadsheetml/2009/9/ac" defaultRowHeight="14.5" x14ac:dyDescent="0.35"/>
  <sheetData>
    <row xmlns:x14ac="http://schemas.microsoft.com/office/spreadsheetml/2009/9/ac" r="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xmlns:x14ac="http://schemas.microsoft.com/office/spreadsheetml/2009/9/ac" r="2" x14ac:dyDescent="0.35">
      <c r="A2" t="s">
        <v>30</v>
      </c>
      <c r="B2">
        <f>raw_data!B3</f>
        <v>-0.1</v>
      </c>
      <c r="C2">
        <f>raw_data!C3</f>
        <v>0.1</v>
      </c>
      <c r="H2">
        <v>1</v>
      </c>
      <c r="I2">
        <v>1</v>
      </c>
      <c r="L2">
        <v>1</v>
      </c>
    </row>
    <row xmlns:x14ac="http://schemas.microsoft.com/office/spreadsheetml/2009/9/ac" r="3" x14ac:dyDescent="0.35">
      <c r="A3" t="s">
        <v>31</v>
      </c>
      <c r="B3">
        <f>raw_data!B4</f>
        <v>-0.21</v>
      </c>
      <c r="C3">
        <f>raw_data!C4</f>
        <v>0.08</v>
      </c>
      <c r="H3">
        <v>1</v>
      </c>
      <c r="I3">
        <v>1</v>
      </c>
      <c r="L3">
        <v>2</v>
      </c>
    </row>
    <row xmlns:x14ac="http://schemas.microsoft.com/office/spreadsheetml/2009/9/ac" r="4" x14ac:dyDescent="0.35">
      <c r="A4" t="s">
        <v>32</v>
      </c>
      <c r="B4">
        <f>raw_data!B5</f>
        <v>0.05</v>
      </c>
      <c r="E4">
        <f>raw_data!E5</f>
        <v>0.01</v>
      </c>
      <c r="H4">
        <v>1</v>
      </c>
      <c r="I4">
        <v>1</v>
      </c>
      <c r="L4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0"/>
  <sheetViews>
    <sheetView workbookViewId="0">
      <selection activeCell="J6" sqref="J6"/>
    </sheetView>
  </sheetViews>
  <sheetFormatPr xmlns:x14ac="http://schemas.microsoft.com/office/spreadsheetml/2009/9/ac" defaultColWidth="8.7265625" defaultRowHeight="14.5" x14ac:dyDescent="0.35"/>
  <cols>
    <col min="1" max="1" width="27.7265625" style="2" customWidth="true"/>
    <col min="2" max="2" width="9.81640625" style="2" bestFit="true" customWidth="true"/>
    <col min="3" max="7" width="8.7265625" style="2"/>
    <col min="8" max="8" width="12" style="2" customWidth="true"/>
    <col min="9" max="9" width="8.7265625" style="2"/>
    <col min="10" max="10" width="9.1796875" customWidth="true"/>
    <col min="11" max="16384" width="8.7265625" style="2"/>
  </cols>
  <sheetData>
    <row xmlns:x14ac="http://schemas.microsoft.com/office/spreadsheetml/2009/9/ac" r="1" x14ac:dyDescent="0.35">
      <c r="A1" s="3" t="s">
        <v>35</v>
      </c>
      <c r="B1" s="11"/>
      <c r="C1" s="11"/>
      <c r="D1" s="11"/>
      <c r="E1" s="2" t="s">
        <v>35</v>
      </c>
      <c r="F1" s="2" t="s">
        <v>35</v>
      </c>
      <c r="G1" s="2" t="s">
        <v>35</v>
      </c>
      <c r="H1" s="11"/>
      <c r="I1" s="11"/>
      <c r="J1" t="s">
        <v>35</v>
      </c>
    </row>
    <row xmlns:x14ac="http://schemas.microsoft.com/office/spreadsheetml/2009/9/ac" r="2" ht="29" x14ac:dyDescent="0.35">
      <c r="A2" s="1" t="s">
        <v>0</v>
      </c>
      <c r="B2" s="11"/>
      <c r="C2" s="11"/>
      <c r="D2" s="11"/>
      <c r="E2" s="1" t="s">
        <v>4</v>
      </c>
      <c r="F2" s="1" t="s">
        <v>5</v>
      </c>
      <c r="G2" s="1" t="s">
        <v>6</v>
      </c>
      <c r="H2" s="11"/>
      <c r="I2" s="11"/>
      <c r="J2" s="8" t="s">
        <v>12</v>
      </c>
    </row>
    <row xmlns:x14ac="http://schemas.microsoft.com/office/spreadsheetml/2009/9/ac" r="3" ht="29" x14ac:dyDescent="0.35">
      <c r="A3" s="2" t="s">
        <v>25</v>
      </c>
      <c r="B3" s="11">
        <v>-0.081345118582248688</v>
      </c>
      <c r="C3" s="11">
        <v>0.10000000000000001</v>
      </c>
      <c r="D3" s="11"/>
      <c r="E3" s="2" t="s">
        <v>35</v>
      </c>
      <c r="F3" s="2" t="s">
        <v>35</v>
      </c>
      <c r="G3" s="2" t="s">
        <v>35</v>
      </c>
      <c r="H3" s="11">
        <v>1</v>
      </c>
      <c r="I3" s="11">
        <v>1</v>
      </c>
      <c r="J3" t="s">
        <v>28</v>
      </c>
    </row>
    <row xmlns:x14ac="http://schemas.microsoft.com/office/spreadsheetml/2009/9/ac" r="4" ht="29" x14ac:dyDescent="0.35">
      <c r="A4" s="2" t="s">
        <v>26</v>
      </c>
      <c r="B4" s="11">
        <v>-0.19248093664646149</v>
      </c>
      <c r="C4" s="11">
        <v>0.080000000000000002</v>
      </c>
      <c r="D4" s="11"/>
      <c r="E4" s="2" t="s">
        <v>35</v>
      </c>
      <c r="F4" s="2" t="s">
        <v>35</v>
      </c>
      <c r="G4" s="2" t="s">
        <v>35</v>
      </c>
      <c r="H4" s="11">
        <v>1</v>
      </c>
      <c r="I4" s="11">
        <v>1</v>
      </c>
      <c r="J4" t="s">
        <v>27</v>
      </c>
    </row>
    <row xmlns:x14ac="http://schemas.microsoft.com/office/spreadsheetml/2009/9/ac" r="5" ht="29" x14ac:dyDescent="0.35">
      <c r="A5" s="2" t="s">
        <v>33</v>
      </c>
      <c r="B5" s="11">
        <v>0.044167168438434601</v>
      </c>
      <c r="C5" s="11"/>
      <c r="D5" s="11"/>
      <c r="E5" s="2" t="s">
        <v>36</v>
      </c>
      <c r="F5" s="2" t="s">
        <v>35</v>
      </c>
      <c r="G5" s="2" t="s">
        <v>35</v>
      </c>
      <c r="H5" s="11">
        <v>1</v>
      </c>
      <c r="I5" s="11">
        <v>1</v>
      </c>
      <c r="J5" t="s">
        <v>34</v>
      </c>
    </row>
    <row r="6">
      <c r="A6" s="2" t="s">
        <v>35</v>
      </c>
      <c r="B6" s="11"/>
      <c r="C6" s="11"/>
      <c r="D6" s="11"/>
      <c r="E6" s="2" t="s">
        <v>35</v>
      </c>
      <c r="F6" s="2" t="s">
        <v>35</v>
      </c>
      <c r="G6" s="2" t="s">
        <v>35</v>
      </c>
      <c r="H6" s="11"/>
      <c r="I6" s="11"/>
      <c r="J6" t="s">
        <v>35</v>
      </c>
    </row>
    <row xmlns:x14ac="http://schemas.microsoft.com/office/spreadsheetml/2009/9/ac" r="7" x14ac:dyDescent="0.35">
      <c r="A7" s="4" t="s">
        <v>20</v>
      </c>
      <c r="B7" s="11"/>
      <c r="C7" s="11"/>
      <c r="D7" s="11"/>
      <c r="E7" s="5" t="s">
        <v>35</v>
      </c>
      <c r="F7" s="2" t="s">
        <v>35</v>
      </c>
      <c r="G7" s="2" t="s">
        <v>35</v>
      </c>
      <c r="H7" s="11"/>
      <c r="I7" s="11"/>
      <c r="J7" t="s">
        <v>35</v>
      </c>
    </row>
    <row xmlns:x14ac="http://schemas.microsoft.com/office/spreadsheetml/2009/9/ac" r="8" x14ac:dyDescent="0.35">
      <c r="A8" s="5" t="s">
        <v>15</v>
      </c>
      <c r="B8" s="11"/>
      <c r="C8" s="11"/>
      <c r="D8" s="11"/>
      <c r="E8" s="5" t="s">
        <v>35</v>
      </c>
      <c r="F8" s="2" t="s">
        <v>35</v>
      </c>
      <c r="G8" s="2" t="s">
        <v>35</v>
      </c>
      <c r="H8" s="11"/>
      <c r="I8" s="11"/>
      <c r="J8" t="s">
        <v>35</v>
      </c>
    </row>
    <row xmlns:x14ac="http://schemas.microsoft.com/office/spreadsheetml/2009/9/ac" r="9" x14ac:dyDescent="0.35">
      <c r="A9" s="5" t="s">
        <v>16</v>
      </c>
      <c r="B9" s="11"/>
      <c r="C9" s="11"/>
      <c r="D9" s="11"/>
      <c r="E9" s="5" t="s">
        <v>35</v>
      </c>
      <c r="F9" s="2" t="s">
        <v>35</v>
      </c>
      <c r="G9" s="2" t="s">
        <v>35</v>
      </c>
      <c r="H9" s="11"/>
      <c r="I9" s="11"/>
      <c r="J9" t="s">
        <v>35</v>
      </c>
    </row>
    <row xmlns:x14ac="http://schemas.microsoft.com/office/spreadsheetml/2009/9/ac" r="10" x14ac:dyDescent="0.35">
      <c r="A10" s="5" t="s">
        <v>18</v>
      </c>
      <c r="B10" s="11"/>
      <c r="C10" s="11"/>
      <c r="D10" s="11"/>
      <c r="E10" s="5" t="s">
        <v>35</v>
      </c>
      <c r="F10" s="2" t="s">
        <v>35</v>
      </c>
      <c r="G10" s="2" t="s">
        <v>35</v>
      </c>
      <c r="H10" s="11"/>
      <c r="I10" s="11"/>
      <c r="J10" t="s">
        <v>35</v>
      </c>
    </row>
    <row xmlns:x14ac="http://schemas.microsoft.com/office/spreadsheetml/2009/9/ac" r="11" x14ac:dyDescent="0.35">
      <c r="A11" s="5" t="s">
        <v>19</v>
      </c>
      <c r="B11" s="11"/>
      <c r="C11" s="11"/>
      <c r="D11" s="11"/>
      <c r="E11" s="2" t="s">
        <v>35</v>
      </c>
      <c r="F11" s="2" t="s">
        <v>35</v>
      </c>
      <c r="G11" s="2" t="s">
        <v>35</v>
      </c>
      <c r="H11" s="11"/>
      <c r="I11" s="11"/>
      <c r="J11" t="s">
        <v>35</v>
      </c>
    </row>
    <row xmlns:x14ac="http://schemas.microsoft.com/office/spreadsheetml/2009/9/ac" r="12" x14ac:dyDescent="0.35">
      <c r="A12" s="3" t="s">
        <v>35</v>
      </c>
      <c r="B12" s="11"/>
      <c r="C12" s="11"/>
      <c r="D12" s="11"/>
      <c r="E12" s="2" t="s">
        <v>35</v>
      </c>
      <c r="F12" s="2" t="s">
        <v>35</v>
      </c>
      <c r="G12" s="2" t="s">
        <v>35</v>
      </c>
      <c r="H12" s="11"/>
      <c r="I12" s="11"/>
      <c r="J12" t="s">
        <v>35</v>
      </c>
    </row>
    <row xmlns:x14ac="http://schemas.microsoft.com/office/spreadsheetml/2009/9/ac" r="13" x14ac:dyDescent="0.35">
      <c r="A13" s="1" t="s">
        <v>35</v>
      </c>
      <c r="B13" s="11"/>
      <c r="C13" s="11"/>
      <c r="D13" s="11"/>
      <c r="E13" s="1" t="s">
        <v>35</v>
      </c>
      <c r="F13" s="1" t="s">
        <v>35</v>
      </c>
      <c r="G13" s="1" t="s">
        <v>35</v>
      </c>
      <c r="H13" s="11"/>
      <c r="I13" s="11"/>
      <c r="J13" s="8" t="s">
        <v>35</v>
      </c>
    </row>
    <row r="14">
      <c r="A14" s="2" t="s">
        <v>35</v>
      </c>
      <c r="B14" s="11"/>
      <c r="C14" s="11"/>
      <c r="D14" s="11"/>
      <c r="E14" s="2" t="s">
        <v>35</v>
      </c>
      <c r="F14" s="2" t="s">
        <v>35</v>
      </c>
      <c r="G14" s="2" t="s">
        <v>35</v>
      </c>
      <c r="H14" s="11"/>
      <c r="I14" s="11"/>
      <c r="J14" t="s">
        <v>35</v>
      </c>
    </row>
    <row r="15">
      <c r="A15" s="2" t="s">
        <v>35</v>
      </c>
      <c r="B15" s="11"/>
      <c r="C15" s="11"/>
      <c r="D15" s="11"/>
      <c r="E15" s="2" t="s">
        <v>35</v>
      </c>
      <c r="F15" s="2" t="s">
        <v>35</v>
      </c>
      <c r="G15" s="2" t="s">
        <v>35</v>
      </c>
      <c r="H15" s="11"/>
      <c r="I15" s="11"/>
      <c r="J15" t="s">
        <v>35</v>
      </c>
    </row>
    <row xmlns:x14ac="http://schemas.microsoft.com/office/spreadsheetml/2009/9/ac" r="16" x14ac:dyDescent="0.35">
      <c r="A16" s="4" t="s">
        <v>35</v>
      </c>
      <c r="B16" s="11"/>
      <c r="C16" s="11"/>
      <c r="D16" s="11"/>
      <c r="E16" s="2" t="s">
        <v>35</v>
      </c>
      <c r="F16" s="2" t="s">
        <v>35</v>
      </c>
      <c r="G16" s="2" t="s">
        <v>35</v>
      </c>
      <c r="H16" s="11"/>
      <c r="I16" s="11"/>
      <c r="J16" t="s">
        <v>35</v>
      </c>
    </row>
    <row xmlns:x14ac="http://schemas.microsoft.com/office/spreadsheetml/2009/9/ac" r="17" x14ac:dyDescent="0.35">
      <c r="A17" s="5" t="s">
        <v>35</v>
      </c>
      <c r="B17" s="11"/>
      <c r="C17" s="11"/>
      <c r="D17" s="11"/>
      <c r="E17" s="2" t="s">
        <v>35</v>
      </c>
      <c r="F17" s="2" t="s">
        <v>35</v>
      </c>
      <c r="G17" s="2" t="s">
        <v>35</v>
      </c>
      <c r="H17" s="11"/>
      <c r="I17" s="11"/>
      <c r="J17" t="s">
        <v>35</v>
      </c>
    </row>
    <row xmlns:x14ac="http://schemas.microsoft.com/office/spreadsheetml/2009/9/ac" r="18" x14ac:dyDescent="0.35">
      <c r="A18" s="5" t="s">
        <v>35</v>
      </c>
      <c r="B18" s="11"/>
      <c r="C18" s="11"/>
      <c r="D18" s="11"/>
      <c r="E18" s="2" t="s">
        <v>35</v>
      </c>
      <c r="F18" s="2" t="s">
        <v>35</v>
      </c>
      <c r="G18" s="2" t="s">
        <v>35</v>
      </c>
      <c r="H18" s="11"/>
      <c r="I18" s="11"/>
      <c r="J18" t="s">
        <v>35</v>
      </c>
    </row>
    <row xmlns:x14ac="http://schemas.microsoft.com/office/spreadsheetml/2009/9/ac" r="19" x14ac:dyDescent="0.35">
      <c r="A19" s="5" t="s">
        <v>35</v>
      </c>
      <c r="B19" s="11"/>
      <c r="C19" s="11"/>
      <c r="D19" s="11"/>
      <c r="E19" s="2" t="s">
        <v>35</v>
      </c>
      <c r="F19" s="2" t="s">
        <v>35</v>
      </c>
      <c r="G19" s="2" t="s">
        <v>35</v>
      </c>
      <c r="H19" s="11"/>
      <c r="I19" s="11"/>
      <c r="J19" t="s">
        <v>35</v>
      </c>
    </row>
    <row xmlns:x14ac="http://schemas.microsoft.com/office/spreadsheetml/2009/9/ac" r="20" x14ac:dyDescent="0.35">
      <c r="A20" s="5" t="s">
        <v>35</v>
      </c>
      <c r="B20" s="11"/>
      <c r="C20" s="11"/>
      <c r="D20" s="11"/>
      <c r="E20" s="2" t="s">
        <v>35</v>
      </c>
      <c r="F20" s="2" t="s">
        <v>35</v>
      </c>
      <c r="G20" s="2" t="s">
        <v>35</v>
      </c>
      <c r="H20" s="11"/>
      <c r="I20" s="11"/>
      <c r="J20" t="s">
        <v>35</v>
      </c>
    </row>
    <row r="21">
      <c r="A21" s="2" t="s">
        <v>35</v>
      </c>
      <c r="B21" s="11"/>
      <c r="C21" s="11"/>
      <c r="D21" s="11"/>
      <c r="E21" s="2" t="s">
        <v>35</v>
      </c>
      <c r="F21" s="2" t="s">
        <v>35</v>
      </c>
      <c r="G21" s="2" t="s">
        <v>35</v>
      </c>
      <c r="H21" s="11"/>
      <c r="I21" s="11"/>
      <c r="J21" t="s">
        <v>35</v>
      </c>
    </row>
    <row xmlns:x14ac="http://schemas.microsoft.com/office/spreadsheetml/2009/9/ac" r="22" x14ac:dyDescent="0.35">
      <c r="A22" s="3" t="s">
        <v>35</v>
      </c>
      <c r="B22" s="11"/>
      <c r="C22" s="11"/>
      <c r="D22" s="11"/>
      <c r="E22" s="2" t="s">
        <v>35</v>
      </c>
      <c r="F22" s="2" t="s">
        <v>35</v>
      </c>
      <c r="G22" s="2" t="s">
        <v>35</v>
      </c>
      <c r="H22" s="11"/>
      <c r="I22" s="11"/>
      <c r="J22" t="s">
        <v>35</v>
      </c>
    </row>
    <row xmlns:x14ac="http://schemas.microsoft.com/office/spreadsheetml/2009/9/ac" r="23" x14ac:dyDescent="0.35">
      <c r="A23" s="1" t="s">
        <v>35</v>
      </c>
      <c r="B23" s="11"/>
      <c r="C23" s="11"/>
      <c r="D23" s="11"/>
      <c r="E23" s="1" t="s">
        <v>35</v>
      </c>
      <c r="F23" s="1" t="s">
        <v>35</v>
      </c>
      <c r="G23" s="1" t="s">
        <v>35</v>
      </c>
      <c r="H23" s="11"/>
      <c r="I23" s="11"/>
      <c r="J23" s="8" t="s">
        <v>35</v>
      </c>
    </row>
    <row r="24">
      <c r="A24" s="2" t="s">
        <v>35</v>
      </c>
      <c r="B24" s="11"/>
      <c r="C24" s="11"/>
      <c r="D24" s="11"/>
      <c r="E24" s="2" t="s">
        <v>35</v>
      </c>
      <c r="F24" s="2" t="s">
        <v>35</v>
      </c>
      <c r="G24" s="2" t="s">
        <v>35</v>
      </c>
      <c r="H24" s="11"/>
      <c r="I24" s="11"/>
      <c r="J24" t="s">
        <v>35</v>
      </c>
    </row>
    <row r="25">
      <c r="A25" s="2" t="s">
        <v>35</v>
      </c>
      <c r="B25" s="11"/>
      <c r="C25" s="11"/>
      <c r="D25" s="11"/>
      <c r="E25" s="2" t="s">
        <v>35</v>
      </c>
      <c r="F25" s="2" t="s">
        <v>35</v>
      </c>
      <c r="G25" s="2" t="s">
        <v>35</v>
      </c>
      <c r="H25" s="11"/>
      <c r="I25" s="11"/>
      <c r="J25" t="s">
        <v>35</v>
      </c>
    </row>
    <row xmlns:x14ac="http://schemas.microsoft.com/office/spreadsheetml/2009/9/ac" r="26" x14ac:dyDescent="0.35">
      <c r="A26" s="4" t="s">
        <v>35</v>
      </c>
      <c r="B26" s="11"/>
      <c r="C26" s="11"/>
      <c r="D26" s="11"/>
      <c r="E26" s="2" t="s">
        <v>35</v>
      </c>
      <c r="F26" s="2" t="s">
        <v>35</v>
      </c>
      <c r="G26" s="2" t="s">
        <v>35</v>
      </c>
      <c r="H26" s="11"/>
      <c r="I26" s="11"/>
      <c r="J26" t="s">
        <v>35</v>
      </c>
    </row>
    <row xmlns:x14ac="http://schemas.microsoft.com/office/spreadsheetml/2009/9/ac" r="27" x14ac:dyDescent="0.35">
      <c r="A27" s="5" t="s">
        <v>35</v>
      </c>
      <c r="B27" s="11"/>
      <c r="C27" s="11"/>
      <c r="D27" s="11"/>
      <c r="E27" s="2" t="s">
        <v>35</v>
      </c>
      <c r="F27" s="2" t="s">
        <v>35</v>
      </c>
      <c r="G27" s="2" t="s">
        <v>35</v>
      </c>
      <c r="H27" s="11"/>
      <c r="I27" s="11"/>
      <c r="J27" t="s">
        <v>35</v>
      </c>
    </row>
    <row xmlns:x14ac="http://schemas.microsoft.com/office/spreadsheetml/2009/9/ac" r="28" x14ac:dyDescent="0.35">
      <c r="A28" s="5" t="s">
        <v>35</v>
      </c>
      <c r="B28" s="11"/>
      <c r="C28" s="11"/>
      <c r="D28" s="11"/>
      <c r="E28" s="2" t="s">
        <v>35</v>
      </c>
      <c r="F28" s="2" t="s">
        <v>35</v>
      </c>
      <c r="G28" s="2" t="s">
        <v>35</v>
      </c>
      <c r="H28" s="11"/>
      <c r="I28" s="11"/>
      <c r="J28" t="s">
        <v>35</v>
      </c>
    </row>
    <row xmlns:x14ac="http://schemas.microsoft.com/office/spreadsheetml/2009/9/ac" r="29" x14ac:dyDescent="0.35">
      <c r="A29" s="5" t="s">
        <v>35</v>
      </c>
      <c r="B29" s="11"/>
      <c r="C29" s="11"/>
      <c r="D29" s="11"/>
      <c r="E29" s="2" t="s">
        <v>35</v>
      </c>
      <c r="F29" s="2" t="s">
        <v>35</v>
      </c>
      <c r="G29" s="2" t="s">
        <v>35</v>
      </c>
      <c r="H29" s="11"/>
      <c r="I29" s="11"/>
      <c r="J29" t="s">
        <v>35</v>
      </c>
    </row>
    <row xmlns:x14ac="http://schemas.microsoft.com/office/spreadsheetml/2009/9/ac" r="30" x14ac:dyDescent="0.35">
      <c r="A30" s="5" t="s">
        <v>35</v>
      </c>
      <c r="B30" s="11"/>
      <c r="C30" s="11"/>
      <c r="D30" s="11"/>
      <c r="E30" s="2" t="s">
        <v>35</v>
      </c>
      <c r="F30" s="2" t="s">
        <v>35</v>
      </c>
      <c r="G30" s="2" t="s">
        <v>35</v>
      </c>
      <c r="H30" s="11"/>
      <c r="I30" s="11"/>
      <c r="J30" t="s">
        <v>35</v>
      </c>
    </row>
  </sheetData>
  <hyperlinks>
    <hyperlink ref="B8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"/>
  <sheetViews>
    <sheetView workbookViewId="0">
      <selection activeCell="B2" sqref="A2:C2"/>
    </sheetView>
  </sheetViews>
  <sheetFormatPr xmlns:x14ac="http://schemas.microsoft.com/office/spreadsheetml/2009/9/ac" defaultColWidth="8.7265625" defaultRowHeight="14.5" x14ac:dyDescent="0.35"/>
  <cols>
    <col min="1" max="1" width="24.54296875" style="1" customWidth="true"/>
    <col min="2" max="2" width="45.7265625" style="1" customWidth="true"/>
    <col min="3" max="3" width="10.81640625" style="1" customWidth="true"/>
    <col min="4" max="16384" width="8.7265625" style="2"/>
  </cols>
  <sheetData>
    <row xmlns:x14ac="http://schemas.microsoft.com/office/spreadsheetml/2009/9/ac" r="1" x14ac:dyDescent="0.35">
      <c r="A1" s="1" t="s">
        <v>21</v>
      </c>
      <c r="B1" s="1" t="s">
        <v>22</v>
      </c>
      <c r="C1" s="1" t="s">
        <v>23</v>
      </c>
    </row>
    <row xmlns:x14ac="http://schemas.microsoft.com/office/spreadsheetml/2009/9/ac" r="2" x14ac:dyDescent="0.35">
      <c r="A2" s="2" t="s">
        <v>29</v>
      </c>
      <c r="B2" s="2"/>
      <c r="C2" s="2"/>
    </row>
    <row xmlns:x14ac="http://schemas.microsoft.com/office/spreadsheetml/2009/9/ac" r="3" x14ac:dyDescent="0.35">
      <c r="A3" s="2"/>
      <c r="B3" s="2"/>
      <c r="C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wrapper_ready</vt:lpstr>
      <vt:lpstr>raw_data</vt:lpstr>
      <vt:lpstr>calculations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Kelly, John Gannon</cp:lastModifiedBy>
  <dcterms:created xsi:type="dcterms:W3CDTF">2024-04-27T19:50:22Z</dcterms:created>
  <dcterms:modified xsi:type="dcterms:W3CDTF">2024-06-27T15:29:03Z</dcterms:modified>
</cp:coreProperties>
</file>