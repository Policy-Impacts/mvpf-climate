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miscellany\JK_ed_wrapper_inputs\"/>
    </mc:Choice>
  </mc:AlternateContent>
  <xr:revisionPtr revIDLastSave="0" documentId="13_ncr:1_{C176DE68-F843-4754-AF10-8F73CFBD649D}" xr6:coauthVersionLast="47" xr6:coauthVersionMax="47" xr10:uidLastSave="{00000000-0000-0000-0000-000000000000}"/>
  <bookViews>
    <workbookView xWindow="735" yWindow="735" windowWidth="23595" windowHeight="11415" activeTab="1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<sst xmlns="http://schemas.openxmlformats.org/spreadsheetml/2006/main" xmlns:r="http://schemas.openxmlformats.org/officeDocument/2006/relationships" xmlns:xdr="http://schemas.openxmlformats.org/drawingml/2006/spreadsheetDrawing" count="277" uniqueCount="53">
  <si>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</si>
  <si>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</si>
  <si>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</si>
  <si>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</si>
  <si>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</si>
  <si>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</si>
  <si>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</si>
  <si>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</si>
  <si>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</si>
  <si>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</si>
  <si>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</si>
  <si>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</si>
  <si>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</si>
  <si>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</si>
  <si>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</si>
  <si>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</si>
  <si>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</si>
  <si>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</si>
  <si>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</si>
  <si>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HITAJ DATA FOR WIND ELASTICITY:</t>
  </si>
  <si>
    <t>Notes:</t>
  </si>
  <si>
    <t xml:space="preserve">Source Info </t>
  </si>
  <si>
    <t>Calculation</t>
  </si>
  <si>
    <t>Description</t>
  </si>
  <si>
    <t xml:space="preserve">Value </t>
  </si>
  <si>
    <t>Notes</t>
  </si>
  <si>
    <t>IV of price on HO Installation Rate</t>
  </si>
  <si>
    <t>IV of price squared on HO Installation Rate</t>
  </si>
  <si>
    <t>"Expected" sign depends on how you expect demand to behave but this would follow from concavity no?</t>
  </si>
  <si>
    <t xml:space="preserve">Table 6 Column 2 Subcolumn 1 Row 1 </t>
  </si>
  <si>
    <t>Table 6 Column 2 Subcolumn 1 Row 2</t>
  </si>
  <si>
    <t xml:space="preserve">Pass through rate of incentive to post-incentive system price per watt </t>
  </si>
  <si>
    <t>Table 2 Column 2 Row 1</t>
  </si>
  <si>
    <t>WAY ET AL. DATA FOR SOLAR LBD:</t>
  </si>
  <si>
    <t>Experience exponent</t>
  </si>
  <si>
    <t>Table S20 Column 1 Rows 1-2 , p.97</t>
  </si>
  <si>
    <t>Source Info</t>
  </si>
  <si>
    <t>https://www.sciencedirect.com/science/article/pii/S254243512200410X#appsec2</t>
  </si>
  <si>
    <t>Click on "Supplemental information" and Download "Document S2. Article plus supplemental information" to get the version with Table S20</t>
  </si>
  <si>
    <t>DORSEY ET AL. DATA FOR SOLAR MARKUP:</t>
  </si>
  <si>
    <t>Estimated markup</t>
  </si>
  <si>
    <t>Table 2 Panel A Column 5 Row 1, p.39</t>
  </si>
  <si>
    <t>https://www.jacksonfdorsey.com/_files/ugd/f863ae_3dcc9be89b99454db9a9bacd63551714.pdf</t>
  </si>
  <si>
    <t>https://mitsloan.mit.edu/sites/default/files/2019-10/Pass-Through%20as%20a%20Test%20for%20Market%20Power.pdf</t>
  </si>
  <si>
    <t>Flip sign on pass through</t>
  </si>
  <si>
    <t xml:space="preserve">Multiply by -1. </t>
  </si>
  <si>
    <t>price</t>
  </si>
  <si>
    <t>price_squared</t>
  </si>
  <si>
    <t>pass_through</t>
  </si>
  <si>
    <t>farmer_theta</t>
  </si>
  <si>
    <t>markup</t>
  </si>
  <si>
    <t>Flip sign on LBD elasticity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</si>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</sst>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0" fontId="20" fillId="0" borderId="0" xfId="42" applyAlignment="true"/>
    <xf numFmtId="14" fontId="0" fillId="0" borderId="0" xfId="0" applyNumberFormat="true" applyAlignment="true">
      <alignment wrapText="true"/>
    </xf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mitsloan.mit.edu/sites/default/files/2019-10/Pass-Through%20as%20a%20Test%20for%20Market%20Power.pdf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selection activeCell="C7" sqref="C7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25">
      <c r="A2" t="s">
        <v>46</v>
      </c>
      <c r="B2">
        <f>raw_data!B3</f>
        <v>-0.53400000000000003</v>
      </c>
      <c r="C2">
        <f>raw_data!C3</f>
        <v>0.89800000000000002</v>
      </c>
      <c r="H2">
        <v>1</v>
      </c>
      <c r="I2">
        <v>1</v>
      </c>
      <c r="L2">
        <v>1</v>
      </c>
    </row>
    <row xmlns:x14ac="http://schemas.microsoft.com/office/spreadsheetml/2009/9/ac" r="3" x14ac:dyDescent="0.25">
      <c r="A3" t="s">
        <v>47</v>
      </c>
      <c r="B3">
        <f>raw_data!B4</f>
        <v>5.2999999999999999E-2</v>
      </c>
      <c r="C3">
        <f>raw_data!C4</f>
        <v>9.9000000000000005E-2</v>
      </c>
      <c r="H3">
        <v>1</v>
      </c>
      <c r="I3">
        <v>1</v>
      </c>
      <c r="L3">
        <v>2</v>
      </c>
    </row>
    <row xmlns:x14ac="http://schemas.microsoft.com/office/spreadsheetml/2009/9/ac" r="4" x14ac:dyDescent="0.25">
      <c r="A4" t="s">
        <v>48</v>
      </c>
      <c r="B4">
        <f>calculations!C2</f>
        <v>0.77800000000000002</v>
      </c>
      <c r="C4">
        <f>raw_data!C5</f>
        <v>6.3E-2</v>
      </c>
      <c r="H4">
        <v>1</v>
      </c>
      <c r="I4">
        <v>1</v>
      </c>
      <c r="L4">
        <v>3</v>
      </c>
    </row>
    <row xmlns:x14ac="http://schemas.microsoft.com/office/spreadsheetml/2009/9/ac" r="5" x14ac:dyDescent="0.25">
      <c r="A5" t="s">
        <v>49</v>
      </c>
      <c r="B5">
        <f>calculations!C3</f>
        <v>-0.31900000000000001</v>
      </c>
      <c r="C5">
        <f>raw_data!C15</f>
        <v>4.2999999999999997E-2</v>
      </c>
      <c r="L5">
        <v>4</v>
      </c>
    </row>
    <row xmlns:x14ac="http://schemas.microsoft.com/office/spreadsheetml/2009/9/ac" r="6" x14ac:dyDescent="0.25">
      <c r="A6" t="s">
        <v>50</v>
      </c>
      <c r="B6">
        <f>raw_data!B25</f>
        <v>0.46</v>
      </c>
      <c r="C6">
        <f>raw_data!C25</f>
        <v>0.09</v>
      </c>
      <c r="H6">
        <v>1</v>
      </c>
      <c r="I6">
        <v>1</v>
      </c>
      <c r="L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tabSelected="true" topLeftCell="A23" workbookViewId="0">
      <selection activeCell="I25" sqref="I25"/>
    </sheetView>
  </sheetViews>
  <sheetFormatPr xmlns:x14ac="http://schemas.microsoft.com/office/spreadsheetml/2009/9/ac" defaultColWidth="8.7109375" defaultRowHeight="15" x14ac:dyDescent="0.25"/>
  <cols>
    <col min="1" max="1" width="27.7109375" style="2" customWidth="true"/>
    <col min="2" max="2" width="9.85546875" style="2" bestFit="true" customWidth="true"/>
    <col min="3" max="7" width="8.7109375" style="2"/>
    <col min="8" max="8" width="12" style="2" customWidth="true"/>
    <col min="9" max="9" width="9.5703125" style="2" customWidth="true"/>
    <col min="10" max="10" width="9.140625" customWidth="true"/>
    <col min="11" max="16384" width="8.7109375" style="2"/>
  </cols>
  <sheetData>
    <row xmlns:x14ac="http://schemas.microsoft.com/office/spreadsheetml/2009/9/ac" r="1" ht="30" x14ac:dyDescent="0.25">
      <c r="A1" s="3" t="s">
        <v>19</v>
      </c>
      <c r="B1" s="11"/>
      <c r="C1" s="11"/>
      <c r="D1" s="11"/>
      <c r="E1" s="2" t="s">
        <v>52</v>
      </c>
      <c r="F1" s="2" t="s">
        <v>52</v>
      </c>
      <c r="G1" s="2" t="s">
        <v>52</v>
      </c>
      <c r="H1" s="11"/>
      <c r="I1" s="11"/>
      <c r="J1" t="s">
        <v>52</v>
      </c>
      <c r="K1" s="11"/>
      <c r="L1" s="11"/>
      <c r="M1" s="2" t="s">
        <v>52</v>
      </c>
    </row>
    <row xmlns:x14ac="http://schemas.microsoft.com/office/spreadsheetml/2009/9/ac" r="2" ht="30" x14ac:dyDescent="0.2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12</v>
      </c>
      <c r="K2" s="11"/>
      <c r="L2" s="11"/>
      <c r="M2" s="2" t="s">
        <v>25</v>
      </c>
    </row>
    <row xmlns:x14ac="http://schemas.microsoft.com/office/spreadsheetml/2009/9/ac" r="3" ht="30" x14ac:dyDescent="0.25">
      <c r="A3" s="2" t="s">
        <v>26</v>
      </c>
      <c r="B3" s="11">
        <v>-0.43187782168388367</v>
      </c>
      <c r="C3" s="11">
        <v>0.89800000000000002</v>
      </c>
      <c r="D3" s="11"/>
      <c r="E3" s="2" t="s">
        <v>52</v>
      </c>
      <c r="F3" s="2" t="s">
        <v>52</v>
      </c>
      <c r="G3" s="2" t="s">
        <v>52</v>
      </c>
      <c r="H3" s="11">
        <v>1</v>
      </c>
      <c r="I3" s="11">
        <v>1</v>
      </c>
      <c r="J3" t="s">
        <v>29</v>
      </c>
      <c r="K3" s="11"/>
      <c r="L3" s="11"/>
      <c r="M3" s="2" t="s">
        <v>28</v>
      </c>
    </row>
    <row xmlns:x14ac="http://schemas.microsoft.com/office/spreadsheetml/2009/9/ac" r="4" ht="30" x14ac:dyDescent="0.25">
      <c r="A4" s="2" t="s">
        <v>27</v>
      </c>
      <c r="B4" s="11">
        <v>0.042837474495172501</v>
      </c>
      <c r="C4" s="11">
        <v>0.099000000000000005</v>
      </c>
      <c r="D4" s="11"/>
      <c r="E4" s="2" t="s">
        <v>52</v>
      </c>
      <c r="F4" s="2" t="s">
        <v>52</v>
      </c>
      <c r="G4" s="2" t="s">
        <v>52</v>
      </c>
      <c r="H4" s="11">
        <v>1</v>
      </c>
      <c r="I4" s="11">
        <v>1</v>
      </c>
      <c r="J4" t="s">
        <v>30</v>
      </c>
      <c r="K4" s="11"/>
      <c r="L4" s="11"/>
      <c r="M4" s="2" t="s">
        <v>52</v>
      </c>
    </row>
    <row xmlns:x14ac="http://schemas.microsoft.com/office/spreadsheetml/2009/9/ac" r="5" ht="45" x14ac:dyDescent="0.25">
      <c r="A5" s="2" t="s">
        <v>31</v>
      </c>
      <c r="B5" s="11">
        <v>-0.77800000000000002</v>
      </c>
      <c r="C5" s="11">
        <v>0.063</v>
      </c>
      <c r="D5" s="11"/>
      <c r="E5" s="2" t="s">
        <v>52</v>
      </c>
      <c r="F5" s="2" t="s">
        <v>52</v>
      </c>
      <c r="G5" s="2" t="s">
        <v>52</v>
      </c>
      <c r="H5" s="11">
        <v>0</v>
      </c>
      <c r="I5" s="11">
        <v>1</v>
      </c>
      <c r="J5" t="s">
        <v>32</v>
      </c>
      <c r="K5" s="11"/>
      <c r="L5" s="11"/>
      <c r="M5" s="2" t="s">
        <v>52</v>
      </c>
    </row>
    <row xmlns:x14ac="http://schemas.microsoft.com/office/spreadsheetml/2009/9/ac" r="6" x14ac:dyDescent="0.25">
      <c r="A6" s="2" t="s">
        <v>52</v>
      </c>
      <c r="B6" s="11"/>
      <c r="C6" s="11"/>
      <c r="D6" s="11"/>
      <c r="E6" s="1" t="s">
        <v>52</v>
      </c>
      <c r="F6" s="1" t="s">
        <v>52</v>
      </c>
      <c r="G6" s="1" t="s">
        <v>52</v>
      </c>
      <c r="H6" s="11"/>
      <c r="I6" s="11"/>
      <c r="J6" s="8" t="s">
        <v>52</v>
      </c>
      <c r="K6" s="11"/>
      <c r="L6" s="11"/>
      <c r="M6" s="2" t="s">
        <v>52</v>
      </c>
    </row>
    <row xmlns:x14ac="http://schemas.microsoft.com/office/spreadsheetml/2009/9/ac" r="7" x14ac:dyDescent="0.25">
      <c r="A7" s="4" t="s">
        <v>21</v>
      </c>
      <c r="B7" s="11"/>
      <c r="C7" s="11"/>
      <c r="D7" s="11"/>
      <c r="E7" s="2" t="s">
        <v>52</v>
      </c>
      <c r="F7" s="2" t="s">
        <v>52</v>
      </c>
      <c r="G7" s="2" t="s">
        <v>52</v>
      </c>
      <c r="H7" s="11"/>
      <c r="I7" s="11"/>
      <c r="J7" t="s">
        <v>52</v>
      </c>
      <c r="K7" s="11"/>
      <c r="L7" s="11"/>
      <c r="M7" s="2" t="s">
        <v>52</v>
      </c>
    </row>
    <row xmlns:x14ac="http://schemas.microsoft.com/office/spreadsheetml/2009/9/ac" r="8" x14ac:dyDescent="0.25">
      <c r="A8" s="5" t="s">
        <v>15</v>
      </c>
      <c r="B8" s="11"/>
      <c r="C8" s="11"/>
      <c r="D8" s="11"/>
      <c r="E8" s="2" t="s">
        <v>52</v>
      </c>
      <c r="F8" s="2" t="s">
        <v>52</v>
      </c>
      <c r="G8" s="2" t="s">
        <v>52</v>
      </c>
      <c r="H8" s="11"/>
      <c r="I8" s="11"/>
      <c r="J8" t="s">
        <v>52</v>
      </c>
      <c r="K8" s="11"/>
      <c r="L8" s="11"/>
      <c r="M8" s="2" t="s">
        <v>52</v>
      </c>
    </row>
    <row xmlns:x14ac="http://schemas.microsoft.com/office/spreadsheetml/2009/9/ac" r="9" x14ac:dyDescent="0.25">
      <c r="A9" s="5" t="s">
        <v>16</v>
      </c>
      <c r="B9" s="11"/>
      <c r="C9" s="11"/>
      <c r="D9" s="11"/>
      <c r="E9" s="2" t="s">
        <v>52</v>
      </c>
      <c r="F9" s="2" t="s">
        <v>52</v>
      </c>
      <c r="G9" s="2" t="s">
        <v>52</v>
      </c>
      <c r="H9" s="11"/>
      <c r="I9" s="11"/>
      <c r="J9" t="s">
        <v>52</v>
      </c>
      <c r="K9" s="11"/>
      <c r="L9" s="11"/>
      <c r="M9" s="2" t="s">
        <v>52</v>
      </c>
    </row>
    <row xmlns:x14ac="http://schemas.microsoft.com/office/spreadsheetml/2009/9/ac" r="10" x14ac:dyDescent="0.25">
      <c r="A10" s="5" t="s">
        <v>18</v>
      </c>
      <c r="B10" s="11"/>
      <c r="C10" s="11"/>
      <c r="D10" s="11"/>
      <c r="E10" s="2" t="s">
        <v>52</v>
      </c>
      <c r="F10" s="2" t="s">
        <v>52</v>
      </c>
      <c r="G10" s="2" t="s">
        <v>52</v>
      </c>
      <c r="H10" s="11"/>
      <c r="I10" s="11"/>
      <c r="J10" t="s">
        <v>52</v>
      </c>
      <c r="K10" s="11"/>
      <c r="L10" s="11"/>
      <c r="M10" s="2" t="s">
        <v>52</v>
      </c>
    </row>
    <row xmlns:x14ac="http://schemas.microsoft.com/office/spreadsheetml/2009/9/ac" r="11" x14ac:dyDescent="0.25">
      <c r="A11" s="5" t="s">
        <v>20</v>
      </c>
      <c r="B11" s="11"/>
      <c r="C11" s="11"/>
      <c r="D11" s="11"/>
      <c r="E11" s="2" t="s">
        <v>52</v>
      </c>
      <c r="F11" s="2" t="s">
        <v>52</v>
      </c>
      <c r="G11" s="2" t="s">
        <v>52</v>
      </c>
      <c r="H11" s="11"/>
      <c r="I11" s="11"/>
      <c r="J11" t="s">
        <v>52</v>
      </c>
      <c r="K11" s="11"/>
      <c r="L11" s="11"/>
      <c r="M11" s="2" t="s">
        <v>52</v>
      </c>
    </row>
    <row xmlns:x14ac="http://schemas.microsoft.com/office/spreadsheetml/2009/9/ac" r="12" x14ac:dyDescent="0.25">
      <c r="A12" s="5" t="s">
        <v>52</v>
      </c>
      <c r="B12" s="11"/>
      <c r="C12" s="11"/>
      <c r="D12" s="11"/>
      <c r="E12" s="2" t="s">
        <v>52</v>
      </c>
      <c r="F12" s="2" t="s">
        <v>52</v>
      </c>
      <c r="G12" s="2" t="s">
        <v>52</v>
      </c>
      <c r="H12" s="11"/>
      <c r="I12" s="11"/>
      <c r="J12" t="s">
        <v>52</v>
      </c>
      <c r="K12" s="11"/>
      <c r="L12" s="11"/>
      <c r="M12" s="2" t="s">
        <v>52</v>
      </c>
    </row>
    <row xmlns:x14ac="http://schemas.microsoft.com/office/spreadsheetml/2009/9/ac" r="13" ht="30" x14ac:dyDescent="0.25">
      <c r="A13" s="3" t="s">
        <v>33</v>
      </c>
      <c r="B13" s="11"/>
      <c r="C13" s="11"/>
      <c r="D13" s="11"/>
      <c r="E13" s="2" t="s">
        <v>52</v>
      </c>
      <c r="F13" s="2" t="s">
        <v>52</v>
      </c>
      <c r="G13" s="2" t="s">
        <v>52</v>
      </c>
      <c r="H13" s="11"/>
      <c r="I13" s="11"/>
      <c r="J13" t="s">
        <v>52</v>
      </c>
      <c r="K13" s="11"/>
      <c r="L13" s="11"/>
      <c r="M13" s="2" t="s">
        <v>52</v>
      </c>
    </row>
    <row xmlns:x14ac="http://schemas.microsoft.com/office/spreadsheetml/2009/9/ac" r="14" ht="30" x14ac:dyDescent="0.25">
      <c r="A14" s="1" t="s">
        <v>0</v>
      </c>
      <c r="B14" s="11"/>
      <c r="C14" s="11"/>
      <c r="D14" s="11"/>
      <c r="E14" s="1" t="s">
        <v>4</v>
      </c>
      <c r="F14" s="1" t="s">
        <v>5</v>
      </c>
      <c r="G14" s="1" t="s">
        <v>6</v>
      </c>
      <c r="H14" s="11"/>
      <c r="I14" s="11"/>
      <c r="J14" s="8" t="s">
        <v>12</v>
      </c>
      <c r="K14" s="11"/>
      <c r="L14" s="11"/>
      <c r="M14" s="2" t="s">
        <v>52</v>
      </c>
    </row>
    <row xmlns:x14ac="http://schemas.microsoft.com/office/spreadsheetml/2009/9/ac" r="15" x14ac:dyDescent="0.25">
      <c r="A15" s="2" t="s">
        <v>34</v>
      </c>
      <c r="B15" s="11">
        <v>0.3190000057220459</v>
      </c>
      <c r="C15" s="11">
        <v>0.042999999999999997</v>
      </c>
      <c r="D15" s="11"/>
      <c r="E15" s="2" t="s">
        <v>52</v>
      </c>
      <c r="F15" s="2" t="s">
        <v>52</v>
      </c>
      <c r="G15" s="2" t="s">
        <v>52</v>
      </c>
      <c r="H15" s="11">
        <v>1</v>
      </c>
      <c r="I15" s="11">
        <v>1</v>
      </c>
      <c r="J15" t="s">
        <v>35</v>
      </c>
      <c r="K15" s="11"/>
      <c r="L15" s="11"/>
      <c r="M15" s="2" t="s">
        <v>52</v>
      </c>
    </row>
    <row r="16">
      <c r="A16" s="2" t="s">
        <v>52</v>
      </c>
      <c r="B16" s="11"/>
      <c r="C16" s="11"/>
      <c r="D16" s="11"/>
      <c r="E16" s="2" t="s">
        <v>52</v>
      </c>
      <c r="F16" s="2" t="s">
        <v>52</v>
      </c>
      <c r="G16" s="2" t="s">
        <v>52</v>
      </c>
      <c r="H16" s="11"/>
      <c r="I16" s="11"/>
      <c r="J16" t="s">
        <v>52</v>
      </c>
      <c r="K16" s="11"/>
      <c r="L16" s="11"/>
      <c r="M16" s="2" t="s">
        <v>52</v>
      </c>
    </row>
    <row xmlns:x14ac="http://schemas.microsoft.com/office/spreadsheetml/2009/9/ac" r="17" x14ac:dyDescent="0.25">
      <c r="A17" s="4" t="s">
        <v>36</v>
      </c>
      <c r="B17" s="11"/>
      <c r="C17" s="11"/>
      <c r="D17" s="11"/>
      <c r="E17" s="2" t="s">
        <v>52</v>
      </c>
      <c r="F17" s="2" t="s">
        <v>52</v>
      </c>
      <c r="G17" s="2" t="s">
        <v>52</v>
      </c>
      <c r="H17" s="11"/>
      <c r="I17" s="11"/>
      <c r="J17" t="s">
        <v>52</v>
      </c>
      <c r="K17" s="11"/>
      <c r="L17" s="11"/>
      <c r="M17" s="2" t="s">
        <v>52</v>
      </c>
    </row>
    <row xmlns:x14ac="http://schemas.microsoft.com/office/spreadsheetml/2009/9/ac" r="18" x14ac:dyDescent="0.25">
      <c r="A18" s="5" t="s">
        <v>15</v>
      </c>
      <c r="B18" s="11"/>
      <c r="C18" s="11"/>
      <c r="D18" s="11"/>
      <c r="E18" s="2" t="s">
        <v>52</v>
      </c>
      <c r="F18" s="2" t="s">
        <v>52</v>
      </c>
      <c r="G18" s="2" t="s">
        <v>52</v>
      </c>
      <c r="H18" s="11"/>
      <c r="I18" s="11"/>
      <c r="J18" t="s">
        <v>52</v>
      </c>
      <c r="K18" s="11"/>
      <c r="L18" s="11"/>
      <c r="M18" s="2" t="s">
        <v>52</v>
      </c>
    </row>
    <row xmlns:x14ac="http://schemas.microsoft.com/office/spreadsheetml/2009/9/ac" r="19" x14ac:dyDescent="0.25">
      <c r="A19" s="5" t="s">
        <v>16</v>
      </c>
      <c r="B19" s="11"/>
      <c r="C19" s="11"/>
      <c r="D19" s="11"/>
      <c r="E19" s="2" t="s">
        <v>52</v>
      </c>
      <c r="F19" s="2" t="s">
        <v>52</v>
      </c>
      <c r="G19" s="2" t="s">
        <v>52</v>
      </c>
      <c r="H19" s="11"/>
      <c r="I19" s="11"/>
      <c r="J19" t="s">
        <v>52</v>
      </c>
      <c r="K19" s="11"/>
      <c r="L19" s="11"/>
      <c r="M19" s="2" t="s">
        <v>52</v>
      </c>
    </row>
    <row xmlns:x14ac="http://schemas.microsoft.com/office/spreadsheetml/2009/9/ac" r="20" x14ac:dyDescent="0.25">
      <c r="A20" s="5" t="s">
        <v>18</v>
      </c>
      <c r="B20" s="11"/>
      <c r="C20" s="11"/>
      <c r="D20" s="11"/>
      <c r="E20" s="2" t="s">
        <v>52</v>
      </c>
      <c r="F20" s="2" t="s">
        <v>52</v>
      </c>
      <c r="G20" s="2" t="s">
        <v>52</v>
      </c>
      <c r="H20" s="11"/>
      <c r="I20" s="11"/>
      <c r="J20" t="s">
        <v>52</v>
      </c>
      <c r="K20" s="11"/>
      <c r="L20" s="11"/>
      <c r="M20" s="2" t="s">
        <v>52</v>
      </c>
    </row>
    <row xmlns:x14ac="http://schemas.microsoft.com/office/spreadsheetml/2009/9/ac" r="21" x14ac:dyDescent="0.25">
      <c r="A21" s="5" t="s">
        <v>20</v>
      </c>
      <c r="B21" s="11"/>
      <c r="C21" s="11"/>
      <c r="D21" s="11"/>
      <c r="E21" s="2" t="s">
        <v>52</v>
      </c>
      <c r="F21" s="2" t="s">
        <v>52</v>
      </c>
      <c r="G21" s="2" t="s">
        <v>52</v>
      </c>
      <c r="H21" s="11"/>
      <c r="I21" s="11"/>
      <c r="J21" t="s">
        <v>52</v>
      </c>
      <c r="K21" s="11"/>
      <c r="L21" s="11"/>
      <c r="M21" s="2" t="s">
        <v>52</v>
      </c>
    </row>
    <row r="22">
      <c r="A22" s="2" t="s">
        <v>52</v>
      </c>
      <c r="B22" s="11"/>
      <c r="C22" s="11"/>
      <c r="D22" s="11"/>
      <c r="E22" s="2" t="s">
        <v>52</v>
      </c>
      <c r="F22" s="2" t="s">
        <v>52</v>
      </c>
      <c r="G22" s="2" t="s">
        <v>52</v>
      </c>
      <c r="H22" s="11"/>
      <c r="I22" s="11"/>
      <c r="J22" t="s">
        <v>52</v>
      </c>
      <c r="K22" s="11"/>
      <c r="L22" s="11"/>
      <c r="M22" s="2" t="s">
        <v>52</v>
      </c>
    </row>
    <row xmlns:x14ac="http://schemas.microsoft.com/office/spreadsheetml/2009/9/ac" r="23" ht="30" x14ac:dyDescent="0.25">
      <c r="A23" s="3" t="s">
        <v>39</v>
      </c>
      <c r="B23" s="11"/>
      <c r="C23" s="11"/>
      <c r="D23" s="11"/>
      <c r="E23" s="2" t="s">
        <v>52</v>
      </c>
      <c r="F23" s="2" t="s">
        <v>52</v>
      </c>
      <c r="G23" s="2" t="s">
        <v>52</v>
      </c>
      <c r="H23" s="11"/>
      <c r="I23" s="11"/>
      <c r="J23" t="s">
        <v>52</v>
      </c>
      <c r="K23" s="11"/>
      <c r="L23" s="11"/>
      <c r="M23" s="2" t="s">
        <v>52</v>
      </c>
    </row>
    <row xmlns:x14ac="http://schemas.microsoft.com/office/spreadsheetml/2009/9/ac" r="24" ht="30" x14ac:dyDescent="0.25">
      <c r="A24" s="1" t="s">
        <v>0</v>
      </c>
      <c r="B24" s="11"/>
      <c r="C24" s="11"/>
      <c r="D24" s="11"/>
      <c r="E24" s="1" t="s">
        <v>4</v>
      </c>
      <c r="F24" s="1" t="s">
        <v>5</v>
      </c>
      <c r="G24" s="1" t="s">
        <v>6</v>
      </c>
      <c r="H24" s="11"/>
      <c r="I24" s="11"/>
      <c r="J24" s="8" t="s">
        <v>12</v>
      </c>
      <c r="K24" s="11"/>
      <c r="L24" s="11"/>
      <c r="M24" s="2" t="s">
        <v>52</v>
      </c>
    </row>
    <row xmlns:x14ac="http://schemas.microsoft.com/office/spreadsheetml/2009/9/ac" r="25" x14ac:dyDescent="0.25">
      <c r="A25" s="2" t="s">
        <v>40</v>
      </c>
      <c r="B25" s="11">
        <v>0.46000000000000002</v>
      </c>
      <c r="C25" s="11">
        <v>0.089999999999999997</v>
      </c>
      <c r="D25" s="11"/>
      <c r="E25" s="2" t="s">
        <v>52</v>
      </c>
      <c r="F25" s="2" t="s">
        <v>52</v>
      </c>
      <c r="G25" s="2" t="s">
        <v>52</v>
      </c>
      <c r="H25" s="11">
        <v>0</v>
      </c>
      <c r="I25" s="11">
        <v>1</v>
      </c>
      <c r="J25" t="s">
        <v>41</v>
      </c>
      <c r="K25" s="11"/>
      <c r="L25" s="11"/>
      <c r="M25" s="2" t="s">
        <v>52</v>
      </c>
    </row>
    <row r="26">
      <c r="A26" s="2" t="s">
        <v>52</v>
      </c>
      <c r="B26" s="11"/>
      <c r="C26" s="11"/>
      <c r="D26" s="11"/>
      <c r="E26" s="2" t="s">
        <v>52</v>
      </c>
      <c r="F26" s="2" t="s">
        <v>52</v>
      </c>
      <c r="G26" s="2" t="s">
        <v>52</v>
      </c>
      <c r="H26" s="11"/>
      <c r="I26" s="11"/>
      <c r="J26" t="s">
        <v>52</v>
      </c>
      <c r="K26" s="11"/>
      <c r="L26" s="11"/>
      <c r="M26" s="2" t="s">
        <v>52</v>
      </c>
    </row>
    <row xmlns:x14ac="http://schemas.microsoft.com/office/spreadsheetml/2009/9/ac" r="27" x14ac:dyDescent="0.25">
      <c r="A27" s="4" t="s">
        <v>36</v>
      </c>
      <c r="B27" s="11"/>
      <c r="C27" s="11"/>
      <c r="D27" s="11"/>
      <c r="E27" s="2" t="s">
        <v>52</v>
      </c>
      <c r="F27" s="2" t="s">
        <v>52</v>
      </c>
      <c r="G27" s="2" t="s">
        <v>52</v>
      </c>
      <c r="H27" s="11"/>
      <c r="I27" s="11"/>
      <c r="J27" t="s">
        <v>52</v>
      </c>
      <c r="K27" s="11"/>
      <c r="L27" s="11"/>
      <c r="M27" s="2" t="s">
        <v>52</v>
      </c>
    </row>
    <row xmlns:x14ac="http://schemas.microsoft.com/office/spreadsheetml/2009/9/ac" r="28" ht="150" x14ac:dyDescent="0.25">
      <c r="A28" s="5" t="s">
        <v>15</v>
      </c>
      <c r="B28" s="11"/>
      <c r="C28" s="11"/>
      <c r="D28" s="11"/>
      <c r="E28" s="2" t="s">
        <v>52</v>
      </c>
      <c r="F28" s="2" t="s">
        <v>52</v>
      </c>
      <c r="G28" s="2" t="s">
        <v>52</v>
      </c>
      <c r="H28" s="11"/>
      <c r="I28" s="11"/>
      <c r="J28" t="s">
        <v>52</v>
      </c>
      <c r="K28" s="11"/>
      <c r="L28" s="11"/>
      <c r="M28" s="2" t="s">
        <v>52</v>
      </c>
    </row>
    <row xmlns:x14ac="http://schemas.microsoft.com/office/spreadsheetml/2009/9/ac" r="29" x14ac:dyDescent="0.25">
      <c r="A29" s="5" t="s">
        <v>16</v>
      </c>
      <c r="B29" s="11"/>
      <c r="C29" s="11"/>
      <c r="D29" s="11"/>
      <c r="E29" s="2" t="s">
        <v>52</v>
      </c>
      <c r="F29" s="2" t="s">
        <v>52</v>
      </c>
      <c r="G29" s="2" t="s">
        <v>52</v>
      </c>
      <c r="H29" s="11"/>
      <c r="I29" s="11"/>
      <c r="J29" t="s">
        <v>52</v>
      </c>
      <c r="K29" s="11"/>
      <c r="L29" s="11"/>
      <c r="M29" s="2" t="s">
        <v>52</v>
      </c>
    </row>
    <row xmlns:x14ac="http://schemas.microsoft.com/office/spreadsheetml/2009/9/ac" r="30" x14ac:dyDescent="0.25">
      <c r="A30" s="5" t="s">
        <v>18</v>
      </c>
      <c r="B30" s="11"/>
      <c r="C30" s="11"/>
      <c r="D30" s="11"/>
      <c r="E30" s="2" t="s">
        <v>52</v>
      </c>
      <c r="F30" s="2" t="s">
        <v>52</v>
      </c>
      <c r="G30" s="2" t="s">
        <v>52</v>
      </c>
      <c r="H30" s="11"/>
      <c r="I30" s="11"/>
      <c r="J30" t="s">
        <v>52</v>
      </c>
      <c r="K30" s="11"/>
      <c r="L30" s="11"/>
      <c r="M30" s="2" t="s">
        <v>52</v>
      </c>
    </row>
    <row xmlns:x14ac="http://schemas.microsoft.com/office/spreadsheetml/2009/9/ac" r="31" x14ac:dyDescent="0.25">
      <c r="A31" s="5" t="s">
        <v>20</v>
      </c>
      <c r="B31" s="11"/>
      <c r="C31" s="11"/>
      <c r="D31" s="11"/>
      <c r="E31" s="2" t="s">
        <v>52</v>
      </c>
      <c r="F31" s="2" t="s">
        <v>52</v>
      </c>
      <c r="G31" s="2" t="s">
        <v>52</v>
      </c>
      <c r="H31" s="11"/>
      <c r="I31" s="11"/>
      <c r="J31" t="s">
        <v>52</v>
      </c>
      <c r="K31" s="11"/>
      <c r="L31" s="11"/>
      <c r="M31" s="2" t="s">
        <v>52</v>
      </c>
    </row>
  </sheetData>
  <hyperlinks>
    <hyperlink ref="B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activeCell="C4" sqref="C4"/>
    </sheetView>
  </sheetViews>
  <sheetFormatPr xmlns:x14ac="http://schemas.microsoft.com/office/spreadsheetml/2009/9/ac" defaultColWidth="8.7109375" defaultRowHeight="15" x14ac:dyDescent="0.25"/>
  <cols>
    <col min="1" max="1" width="24.5703125" style="1" customWidth="true"/>
    <col min="2" max="2" width="45.7109375" style="1" customWidth="true"/>
    <col min="3" max="3" width="10.85546875" style="1" customWidth="true"/>
    <col min="4" max="16384" width="8.7109375" style="2"/>
  </cols>
  <sheetData>
    <row xmlns:x14ac="http://schemas.microsoft.com/office/spreadsheetml/2009/9/ac" r="1" x14ac:dyDescent="0.25">
      <c r="A1" s="1" t="s">
        <v>22</v>
      </c>
      <c r="B1" s="1" t="s">
        <v>23</v>
      </c>
      <c r="C1" s="1" t="s">
        <v>24</v>
      </c>
    </row>
    <row xmlns:x14ac="http://schemas.microsoft.com/office/spreadsheetml/2009/9/ac" r="2" x14ac:dyDescent="0.25">
      <c r="A2" s="2" t="s">
        <v>44</v>
      </c>
      <c r="B2" s="2" t="s">
        <v>45</v>
      </c>
      <c r="C2" s="2">
        <f>-1*raw_data!B5</f>
        <v>0.77800000000000002</v>
      </c>
    </row>
    <row xmlns:x14ac="http://schemas.microsoft.com/office/spreadsheetml/2009/9/ac" r="3" x14ac:dyDescent="0.25">
      <c r="A3" s="2" t="s">
        <v>51</v>
      </c>
      <c r="B3" s="2" t="s">
        <v>45</v>
      </c>
      <c r="C3" s="2">
        <f>-1*raw_data!B15</f>
        <v>-0.31900000000000001</v>
      </c>
    </row>
    <row xmlns:x14ac="http://schemas.microsoft.com/office/spreadsheetml/2009/9/ac" r="4" x14ac:dyDescent="0.25">
      <c r="A4" s="2"/>
      <c r="B4" s="2"/>
      <c r="C4" s="2"/>
    </row>
    <row xmlns:x14ac="http://schemas.microsoft.com/office/spreadsheetml/2009/9/ac" r="5" x14ac:dyDescent="0.25">
      <c r="A5" s="2"/>
      <c r="B5" s="2"/>
      <c r="C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2024-05-01T22:07:55Z</dcterms:modified>
</cp:coreProperties>
</file>