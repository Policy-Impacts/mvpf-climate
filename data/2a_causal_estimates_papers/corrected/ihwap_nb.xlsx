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elly/Opportunity Insights Dropbox/Jack Kelly/Regulation/code_files/2a_causal_estimates_papers/uncorrected_vJK/"/>
    </mc:Choice>
  </mc:AlternateContent>
  <xr:revisionPtr revIDLastSave="0" documentId="13_ncr:1_{9B2049A4-5204-3F48-893F-5A96315502A0}" xr6:coauthVersionLast="47" xr6:coauthVersionMax="47" xr10:uidLastSave="{00000000-0000-0000-0000-000000000000}"/>
  <bookViews>
    <workbookView xWindow="0" yWindow="760" windowWidth="19420" windowHeight="104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<sst xmlns="http://schemas.openxmlformats.org/spreadsheetml/2006/main" xmlns:r="http://schemas.openxmlformats.org/officeDocument/2006/relationships" xmlns:xdr="http://schemas.openxmlformats.org/drawingml/2006/spreadsheetDrawing" count="141" uniqueCount="35">
  <si>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</si>
  <si>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</si>
  <si>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</si>
  <si>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</si>
  <si>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</si>
  <si>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</si>
  <si>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</si>
  <si>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</si>
  <si>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</si>
  <si>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</si>
  <si>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</si>
  <si>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</si>
  <si>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</si>
  <si>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</si>
  <si>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</si>
  <si>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</si>
  <si>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</si>
  <si>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</si>
  <si>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</si>
  <si>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</si>
  <si>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</si>
  <si>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</si>
  <si>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</si>
  <si>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</si>
  <si>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You (only) need to download the supplemental appendix, which you should have access to even if you can't download the article proper</t>
  </si>
  <si>
    <t>Baseline weatherization reduction</t>
  </si>
  <si>
    <t>Table I.1 Column 4 Penultimate Row p. 29</t>
  </si>
  <si>
    <t>Baseline weatherization reduction, gas</t>
  </si>
  <si>
    <t xml:space="preserve">Table 4 Column 4 Penultimate Row, p. 34 </t>
  </si>
  <si>
    <t>Flip signs on all estimates</t>
  </si>
  <si>
    <t xml:space="preserve">multiply by -1 </t>
  </si>
  <si>
    <t>e_saved</t>
  </si>
  <si>
    <t>g_saved</t>
  </si>
  <si>
    <t>https://www.nber.org/system/files/working_papers/w31322/w31322.pdf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</si>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</sst>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metadata.xml" Type="http://schemas.openxmlformats.org/officeDocument/2006/relationships/sheetMetadata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nber.org/system/files/working_papers/w31322/w31322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J5" sqref="J5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31</v>
      </c>
      <c r="B2">
        <f>calculations!C2</f>
        <v>0.47099999999999997</v>
      </c>
      <c r="C2">
        <f>raw_data!C3</f>
        <v>3.1300000000000001E-2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32</v>
      </c>
      <c r="B3">
        <f>calculations!C3</f>
        <v>1.623</v>
      </c>
      <c r="C3">
        <f>raw_data!C4</f>
        <v>9.8199999999999996E-2</v>
      </c>
      <c r="H3">
        <v>1</v>
      </c>
      <c r="I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A6" sqref="A6:XFD6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x14ac:dyDescent="0.2">
      <c r="A1" s="3" t="s">
        <v>34</v>
      </c>
      <c r="B1" s="10"/>
      <c r="C1" s="10"/>
      <c r="D1" s="10"/>
      <c r="E1" s="2" t="s">
        <v>34</v>
      </c>
      <c r="F1" s="2" t="s">
        <v>34</v>
      </c>
      <c r="G1" s="2" t="s">
        <v>34</v>
      </c>
      <c r="H1" s="10"/>
      <c r="I1" s="10"/>
      <c r="J1" t="s">
        <v>34</v>
      </c>
    </row>
    <row xmlns:x14ac="http://schemas.microsoft.com/office/spreadsheetml/2009/9/ac" r="2" ht="32" x14ac:dyDescent="0.2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xmlns:x14ac="http://schemas.microsoft.com/office/spreadsheetml/2009/9/ac" r="3" ht="16" x14ac:dyDescent="0.2">
      <c r="A3" s="2" t="s">
        <v>25</v>
      </c>
      <c r="B3" s="10">
        <v>-0.47099998593330383</v>
      </c>
      <c r="C3" s="10">
        <v>0.031300000000000001</v>
      </c>
      <c r="D3" s="10"/>
      <c r="E3" s="2" t="s">
        <v>34</v>
      </c>
      <c r="F3" s="2" t="s">
        <v>34</v>
      </c>
      <c r="G3" s="2" t="s">
        <v>34</v>
      </c>
      <c r="H3" s="10">
        <v>1</v>
      </c>
      <c r="I3" s="10">
        <v>1</v>
      </c>
      <c r="J3" t="s">
        <v>26</v>
      </c>
    </row>
    <row xmlns:x14ac="http://schemas.microsoft.com/office/spreadsheetml/2009/9/ac" r="4" ht="32" x14ac:dyDescent="0.2">
      <c r="A4" s="2" t="s">
        <v>27</v>
      </c>
      <c r="B4" s="10">
        <v>-1.6230000257492065</v>
      </c>
      <c r="C4" s="10">
        <v>0.098199999999999996</v>
      </c>
      <c r="D4" s="10"/>
      <c r="E4" s="2" t="s">
        <v>34</v>
      </c>
      <c r="F4" s="2" t="s">
        <v>34</v>
      </c>
      <c r="G4" s="2" t="s">
        <v>34</v>
      </c>
      <c r="H4" s="10">
        <v>1</v>
      </c>
      <c r="I4" s="10">
        <v>1</v>
      </c>
      <c r="J4" t="s">
        <v>28</v>
      </c>
    </row>
    <row r="5">
      <c r="A5" s="2" t="s">
        <v>34</v>
      </c>
      <c r="B5" s="10"/>
      <c r="C5" s="10"/>
      <c r="D5" s="10"/>
      <c r="E5" s="2" t="s">
        <v>34</v>
      </c>
      <c r="F5" s="2" t="s">
        <v>34</v>
      </c>
      <c r="G5" s="2" t="s">
        <v>34</v>
      </c>
      <c r="H5" s="10"/>
      <c r="I5" s="10"/>
      <c r="J5" t="s">
        <v>34</v>
      </c>
    </row>
    <row r="6">
      <c r="A6" s="2" t="s">
        <v>34</v>
      </c>
      <c r="B6" s="10"/>
      <c r="C6" s="10"/>
      <c r="D6" s="10"/>
      <c r="E6" s="2" t="s">
        <v>34</v>
      </c>
      <c r="F6" s="2" t="s">
        <v>34</v>
      </c>
      <c r="G6" s="2" t="s">
        <v>34</v>
      </c>
      <c r="H6" s="10"/>
      <c r="I6" s="10"/>
      <c r="J6" t="s">
        <v>34</v>
      </c>
    </row>
    <row xmlns:x14ac="http://schemas.microsoft.com/office/spreadsheetml/2009/9/ac" r="7" ht="16" x14ac:dyDescent="0.2">
      <c r="A7" s="4" t="s">
        <v>20</v>
      </c>
      <c r="B7" s="10"/>
      <c r="C7" s="10"/>
      <c r="D7" s="10"/>
      <c r="E7" s="5" t="s">
        <v>34</v>
      </c>
      <c r="F7" s="2" t="s">
        <v>34</v>
      </c>
      <c r="G7" s="2" t="s">
        <v>34</v>
      </c>
      <c r="H7" s="10"/>
      <c r="I7" s="10"/>
      <c r="J7" t="s">
        <v>34</v>
      </c>
    </row>
    <row xmlns:x14ac="http://schemas.microsoft.com/office/spreadsheetml/2009/9/ac" r="8" ht="16" x14ac:dyDescent="0.2">
      <c r="A8" s="5" t="s">
        <v>15</v>
      </c>
      <c r="B8" s="10"/>
      <c r="C8" s="10"/>
      <c r="D8" s="10"/>
      <c r="E8" s="5" t="s">
        <v>34</v>
      </c>
      <c r="F8" s="2" t="s">
        <v>34</v>
      </c>
      <c r="G8" s="2" t="s">
        <v>34</v>
      </c>
      <c r="H8" s="10"/>
      <c r="I8" s="10"/>
      <c r="J8" t="s">
        <v>34</v>
      </c>
    </row>
    <row xmlns:x14ac="http://schemas.microsoft.com/office/spreadsheetml/2009/9/ac" r="9" ht="16" x14ac:dyDescent="0.2">
      <c r="A9" s="5" t="s">
        <v>16</v>
      </c>
      <c r="B9" s="10"/>
      <c r="C9" s="10"/>
      <c r="D9" s="10"/>
      <c r="E9" s="5" t="s">
        <v>34</v>
      </c>
      <c r="F9" s="2" t="s">
        <v>34</v>
      </c>
      <c r="G9" s="2" t="s">
        <v>34</v>
      </c>
      <c r="H9" s="10"/>
      <c r="I9" s="10"/>
      <c r="J9" t="s">
        <v>34</v>
      </c>
    </row>
    <row xmlns:x14ac="http://schemas.microsoft.com/office/spreadsheetml/2009/9/ac" r="10" ht="16" x14ac:dyDescent="0.2">
      <c r="A10" s="5" t="s">
        <v>18</v>
      </c>
      <c r="B10" s="10"/>
      <c r="C10" s="10"/>
      <c r="D10" s="10"/>
      <c r="E10" s="5" t="s">
        <v>34</v>
      </c>
      <c r="F10" s="2" t="s">
        <v>34</v>
      </c>
      <c r="G10" s="2" t="s">
        <v>34</v>
      </c>
      <c r="H10" s="10"/>
      <c r="I10" s="10"/>
      <c r="J10" t="s">
        <v>34</v>
      </c>
    </row>
    <row xmlns:x14ac="http://schemas.microsoft.com/office/spreadsheetml/2009/9/ac" r="11" ht="16" x14ac:dyDescent="0.2">
      <c r="A11" s="5" t="s">
        <v>19</v>
      </c>
      <c r="B11" s="10"/>
      <c r="C11" s="10"/>
      <c r="D11" s="10"/>
      <c r="E11" s="2" t="s">
        <v>34</v>
      </c>
      <c r="F11" s="2" t="s">
        <v>34</v>
      </c>
      <c r="G11" s="2" t="s">
        <v>34</v>
      </c>
      <c r="H11" s="10"/>
      <c r="I11" s="10"/>
      <c r="J11" t="s">
        <v>34</v>
      </c>
    </row>
    <row xmlns:x14ac="http://schemas.microsoft.com/office/spreadsheetml/2009/9/ac" r="12" x14ac:dyDescent="0.2">
      <c r="A12" s="3" t="s">
        <v>34</v>
      </c>
      <c r="B12" s="10"/>
      <c r="C12" s="10"/>
      <c r="D12" s="10"/>
      <c r="E12" s="2" t="s">
        <v>34</v>
      </c>
      <c r="F12" s="2" t="s">
        <v>34</v>
      </c>
      <c r="G12" s="2" t="s">
        <v>34</v>
      </c>
      <c r="H12" s="10"/>
      <c r="I12" s="10"/>
      <c r="J12" t="s">
        <v>34</v>
      </c>
    </row>
    <row xmlns:x14ac="http://schemas.microsoft.com/office/spreadsheetml/2009/9/ac" r="13" x14ac:dyDescent="0.2">
      <c r="A13" s="1" t="s">
        <v>34</v>
      </c>
      <c r="B13" s="10"/>
      <c r="C13" s="10"/>
      <c r="D13" s="10"/>
      <c r="E13" s="1" t="s">
        <v>34</v>
      </c>
      <c r="F13" s="1" t="s">
        <v>34</v>
      </c>
      <c r="G13" s="1" t="s">
        <v>34</v>
      </c>
      <c r="H13" s="10"/>
      <c r="I13" s="10"/>
      <c r="J13" s="8" t="s">
        <v>34</v>
      </c>
    </row>
    <row r="14">
      <c r="A14" s="2" t="s">
        <v>34</v>
      </c>
      <c r="B14" s="10"/>
      <c r="C14" s="10"/>
      <c r="D14" s="10"/>
      <c r="E14" s="2" t="s">
        <v>34</v>
      </c>
      <c r="F14" s="2" t="s">
        <v>34</v>
      </c>
      <c r="G14" s="2" t="s">
        <v>34</v>
      </c>
      <c r="H14" s="10"/>
      <c r="I14" s="10"/>
      <c r="J14" t="s">
        <v>34</v>
      </c>
    </row>
    <row r="15">
      <c r="A15" s="2" t="s">
        <v>34</v>
      </c>
      <c r="B15" s="10"/>
      <c r="C15" s="10"/>
      <c r="D15" s="10"/>
      <c r="E15" s="2" t="s">
        <v>34</v>
      </c>
      <c r="F15" s="2" t="s">
        <v>34</v>
      </c>
      <c r="G15" s="2" t="s">
        <v>34</v>
      </c>
      <c r="H15" s="10"/>
      <c r="I15" s="10"/>
      <c r="J15" t="s">
        <v>34</v>
      </c>
    </row>
    <row xmlns:x14ac="http://schemas.microsoft.com/office/spreadsheetml/2009/9/ac" r="16" x14ac:dyDescent="0.2">
      <c r="A16" s="4" t="s">
        <v>34</v>
      </c>
      <c r="B16" s="10"/>
      <c r="C16" s="10"/>
      <c r="D16" s="10"/>
      <c r="E16" s="2" t="s">
        <v>34</v>
      </c>
      <c r="F16" s="2" t="s">
        <v>34</v>
      </c>
      <c r="G16" s="2" t="s">
        <v>34</v>
      </c>
      <c r="H16" s="10"/>
      <c r="I16" s="10"/>
      <c r="J16" t="s">
        <v>34</v>
      </c>
    </row>
    <row xmlns:x14ac="http://schemas.microsoft.com/office/spreadsheetml/2009/9/ac" r="17" x14ac:dyDescent="0.2">
      <c r="A17" s="5" t="s">
        <v>34</v>
      </c>
      <c r="B17" s="10"/>
      <c r="C17" s="10"/>
      <c r="D17" s="10"/>
      <c r="E17" s="2" t="s">
        <v>34</v>
      </c>
      <c r="F17" s="2" t="s">
        <v>34</v>
      </c>
      <c r="G17" s="2" t="s">
        <v>34</v>
      </c>
      <c r="H17" s="10"/>
      <c r="I17" s="10"/>
      <c r="J17" t="s">
        <v>34</v>
      </c>
    </row>
    <row xmlns:x14ac="http://schemas.microsoft.com/office/spreadsheetml/2009/9/ac" r="18" x14ac:dyDescent="0.2">
      <c r="A18" s="5" t="s">
        <v>34</v>
      </c>
      <c r="B18" s="10"/>
      <c r="C18" s="10"/>
      <c r="D18" s="10"/>
      <c r="E18" s="2" t="s">
        <v>34</v>
      </c>
      <c r="F18" s="2" t="s">
        <v>34</v>
      </c>
      <c r="G18" s="2" t="s">
        <v>34</v>
      </c>
      <c r="H18" s="10"/>
      <c r="I18" s="10"/>
      <c r="J18" t="s">
        <v>34</v>
      </c>
    </row>
    <row xmlns:x14ac="http://schemas.microsoft.com/office/spreadsheetml/2009/9/ac" r="19" x14ac:dyDescent="0.2">
      <c r="A19" s="5" t="s">
        <v>34</v>
      </c>
      <c r="B19" s="10"/>
      <c r="C19" s="10"/>
      <c r="D19" s="10"/>
      <c r="E19" s="2" t="s">
        <v>34</v>
      </c>
      <c r="F19" s="2" t="s">
        <v>34</v>
      </c>
      <c r="G19" s="2" t="s">
        <v>34</v>
      </c>
      <c r="H19" s="10"/>
      <c r="I19" s="10"/>
      <c r="J19" t="s">
        <v>34</v>
      </c>
    </row>
    <row xmlns:x14ac="http://schemas.microsoft.com/office/spreadsheetml/2009/9/ac" r="20" x14ac:dyDescent="0.2">
      <c r="A20" s="5" t="s">
        <v>34</v>
      </c>
      <c r="B20" s="10"/>
      <c r="C20" s="10"/>
      <c r="D20" s="10"/>
      <c r="E20" s="2" t="s">
        <v>34</v>
      </c>
      <c r="F20" s="2" t="s">
        <v>34</v>
      </c>
      <c r="G20" s="2" t="s">
        <v>34</v>
      </c>
      <c r="H20" s="10"/>
      <c r="I20" s="10"/>
      <c r="J20" t="s">
        <v>34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3" sqref="C3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21</v>
      </c>
      <c r="B1" s="1" t="s">
        <v>22</v>
      </c>
      <c r="C1" s="1" t="s">
        <v>23</v>
      </c>
    </row>
    <row xmlns:x14ac="http://schemas.microsoft.com/office/spreadsheetml/2009/9/ac" r="2" ht="16" x14ac:dyDescent="0.2">
      <c r="A2" s="2" t="s">
        <v>29</v>
      </c>
      <c r="B2" s="2" t="s">
        <v>30</v>
      </c>
      <c r="C2" s="2" cm="1">
        <f t="array" ref="C2:C5">-1*raw_data!B3:B6</f>
        <v>0.47099999999999997</v>
      </c>
    </row>
    <row xmlns:x14ac="http://schemas.microsoft.com/office/spreadsheetml/2009/9/ac" r="3" x14ac:dyDescent="0.2">
      <c r="A3" s="2"/>
      <c r="B3" s="2"/>
      <c r="C3" s="2">
        <v>1.623</v>
      </c>
    </row>
    <row xmlns:x14ac="http://schemas.microsoft.com/office/spreadsheetml/2009/9/ac" r="4" x14ac:dyDescent="0.2">
      <c r="A4" s="2"/>
      <c r="B4" s="2"/>
      <c r="C4" s="2">
        <v>0</v>
      </c>
    </row>
    <row xmlns:x14ac="http://schemas.microsoft.com/office/spreadsheetml/2009/9/ac" r="5" x14ac:dyDescent="0.2">
      <c r="A5" s="2"/>
      <c r="B5" s="2"/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Kelly</cp:lastModifiedBy>
  <dcterms:created xsi:type="dcterms:W3CDTF">2024-04-27T19:50:22Z</dcterms:created>
  <dcterms:modified xsi:type="dcterms:W3CDTF">2024-07-12T03:57:04Z</dcterms:modified>
</cp:coreProperties>
</file>