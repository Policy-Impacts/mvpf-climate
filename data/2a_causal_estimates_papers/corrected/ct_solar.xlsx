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5B492963-96FD-4B3A-83F6-C7FF873A17A1}" xr6:coauthVersionLast="47" xr6:coauthVersionMax="47" xr10:uidLastSave="{00000000-0000-0000-0000-000000000000}"/>
  <bookViews>
    <workbookView xWindow="6300" yWindow="414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<sst xmlns="http://schemas.openxmlformats.org/spreadsheetml/2006/main" xmlns:r="http://schemas.openxmlformats.org/officeDocument/2006/relationships" xmlns:xdr="http://schemas.openxmlformats.org/drawingml/2006/spreadsheetDrawing" count="231" uniqueCount="44">
  <si>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</si>
  <si>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</si>
  <si>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</si>
  <si>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</si>
  <si>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</si>
  <si>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</si>
  <si>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</si>
  <si>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</si>
  <si>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</si>
  <si>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</si>
  <si>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</si>
  <si>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</si>
  <si>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</si>
  <si>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</si>
  <si>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</si>
  <si>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</si>
  <si>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</si>
  <si>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</si>
  <si>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</si>
  <si>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</si>
  <si>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</si>
  <si>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</si>
  <si>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</si>
  <si>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</si>
  <si>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</si>
  <si>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</si>
  <si>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</si>
  <si>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</si>
  <si>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Get wind learning by doing elasticity</t>
  </si>
  <si>
    <t xml:space="preserve">Multiply estimate by -1 (Way et al. present the absolute value of their estimate) </t>
  </si>
  <si>
    <t>elas</t>
  </si>
  <si>
    <t>GILLINGHAM AND TSVETANOV DATA FOR DEMAND ELAS.</t>
  </si>
  <si>
    <t>Demand elasticity of solar photovoltaics</t>
  </si>
  <si>
    <t>Table 7  Baseline Column Row 3, p.297</t>
  </si>
  <si>
    <t>https://onlinelibrary.wiley.com/doi/full/10.3982/QE919</t>
  </si>
  <si>
    <t>WAY ET AL. DATA FOR SOLAR LBD:</t>
  </si>
  <si>
    <t>Click on "Supplemental information" and Download "Document S2. Article plus supplemental information" to get the version with Table S20</t>
  </si>
  <si>
    <t>Table S20 Column 1 Rows 1-2 , p.97</t>
  </si>
  <si>
    <t>DORSEY ET AL. DATA FOR SOLAR MARKUP:</t>
  </si>
  <si>
    <t>Estimated markup</t>
  </si>
  <si>
    <t>Table 2 Panel A Column 5 Row 1, p.39</t>
  </si>
  <si>
    <t>https://www.jacksonfdorsey.com/_files/ugd/f863ae_3dcc9be89b99454db9a9bacd63551714.pdf</t>
  </si>
  <si>
    <t>markup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</si>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</sst>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0" fillId="0" borderId="0" xfId="0" applyAlignment="true"/>
    <xf numFmtId="1" fontId="0" fillId="0" borderId="10" xfId="0" applyNumberFormat="true"/>
  </cellXfs>
  <cellStyles count="42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30</v>
      </c>
      <c r="B2">
        <f>raw_data!B3</f>
        <v>-0.65100000000000002</v>
      </c>
      <c r="C2">
        <f>raw_data!C3</f>
        <v>0.26840000000000003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12</v>
      </c>
      <c r="B3">
        <f>calculations!C2</f>
        <v>-0.31900000000000001</v>
      </c>
      <c r="C3">
        <f>raw_data!C14</f>
        <v>4.2999999999999997E-2</v>
      </c>
      <c r="L3">
        <v>4</v>
      </c>
    </row>
    <row xmlns:x14ac="http://schemas.microsoft.com/office/spreadsheetml/2009/9/ac" r="4" x14ac:dyDescent="0.25">
      <c r="A4" t="s">
        <v>42</v>
      </c>
      <c r="B4">
        <f>raw_data!B24</f>
        <v>0.46</v>
      </c>
      <c r="C4">
        <f>raw_data!C24</f>
        <v>0.09</v>
      </c>
      <c r="H4">
        <v>1</v>
      </c>
      <c r="I4">
        <v>1</v>
      </c>
      <c r="L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B27" sqref="B27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45" x14ac:dyDescent="0.25">
      <c r="A1" s="3" t="s">
        <v>31</v>
      </c>
      <c r="B1" s="11"/>
      <c r="C1" s="11"/>
      <c r="D1" s="11"/>
      <c r="E1" s="2" t="s">
        <v>43</v>
      </c>
      <c r="F1" s="2" t="s">
        <v>43</v>
      </c>
      <c r="G1" s="2" t="s">
        <v>43</v>
      </c>
      <c r="H1" s="11"/>
      <c r="I1" s="11"/>
      <c r="J1" t="s">
        <v>43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30" x14ac:dyDescent="0.25">
      <c r="A3" s="2" t="s">
        <v>32</v>
      </c>
      <c r="B3" s="11">
        <v>-0.59231072664260864</v>
      </c>
      <c r="C3" s="11">
        <v>0.26840000000000003</v>
      </c>
      <c r="D3" s="11"/>
      <c r="E3" s="2" t="s">
        <v>43</v>
      </c>
      <c r="F3" s="2" t="s">
        <v>43</v>
      </c>
      <c r="G3" s="2" t="s">
        <v>43</v>
      </c>
      <c r="H3" s="11">
        <v>1</v>
      </c>
      <c r="I3" s="11">
        <v>1</v>
      </c>
      <c r="J3" t="s">
        <v>33</v>
      </c>
    </row>
    <row r="4">
      <c r="A4" s="2" t="s">
        <v>43</v>
      </c>
      <c r="B4" s="11"/>
      <c r="C4" s="11"/>
      <c r="D4" s="11"/>
      <c r="E4" s="2" t="s">
        <v>43</v>
      </c>
      <c r="F4" s="2" t="s">
        <v>43</v>
      </c>
      <c r="G4" s="2" t="s">
        <v>43</v>
      </c>
      <c r="H4" s="11"/>
      <c r="I4" s="11"/>
      <c r="J4" t="s">
        <v>43</v>
      </c>
    </row>
    <row r="5">
      <c r="A5" s="2" t="s">
        <v>43</v>
      </c>
      <c r="B5" s="11"/>
      <c r="C5" s="11"/>
      <c r="D5" s="11"/>
      <c r="E5" s="2" t="s">
        <v>43</v>
      </c>
      <c r="F5" s="2" t="s">
        <v>43</v>
      </c>
      <c r="G5" s="2" t="s">
        <v>43</v>
      </c>
      <c r="H5" s="11"/>
      <c r="I5" s="11"/>
      <c r="J5" t="s">
        <v>43</v>
      </c>
    </row>
    <row r="6">
      <c r="A6" s="2" t="s">
        <v>43</v>
      </c>
      <c r="B6" s="11"/>
      <c r="C6" s="11"/>
      <c r="D6" s="11"/>
      <c r="E6" s="2" t="s">
        <v>43</v>
      </c>
      <c r="F6" s="2" t="s">
        <v>43</v>
      </c>
      <c r="G6" s="2" t="s">
        <v>43</v>
      </c>
      <c r="H6" s="11"/>
      <c r="I6" s="11"/>
      <c r="J6" t="s">
        <v>43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43</v>
      </c>
      <c r="F7" s="2" t="s">
        <v>43</v>
      </c>
      <c r="G7" s="2" t="s">
        <v>43</v>
      </c>
      <c r="H7" s="11"/>
      <c r="I7" s="11"/>
      <c r="J7" t="s">
        <v>43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43</v>
      </c>
      <c r="F8" s="2" t="s">
        <v>43</v>
      </c>
      <c r="G8" s="2" t="s">
        <v>43</v>
      </c>
      <c r="H8" s="11"/>
      <c r="I8" s="11"/>
      <c r="J8" t="s">
        <v>43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43</v>
      </c>
      <c r="F9" s="2" t="s">
        <v>43</v>
      </c>
      <c r="G9" s="2" t="s">
        <v>43</v>
      </c>
      <c r="H9" s="11"/>
      <c r="I9" s="11"/>
      <c r="J9" t="s">
        <v>43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43</v>
      </c>
      <c r="F10" s="2" t="s">
        <v>43</v>
      </c>
      <c r="G10" s="2" t="s">
        <v>43</v>
      </c>
      <c r="H10" s="11"/>
      <c r="I10" s="11"/>
      <c r="J10" t="s">
        <v>43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43</v>
      </c>
      <c r="F11" s="2" t="s">
        <v>43</v>
      </c>
      <c r="G11" s="2" t="s">
        <v>43</v>
      </c>
      <c r="H11" s="11"/>
      <c r="I11" s="11"/>
      <c r="J11" t="s">
        <v>43</v>
      </c>
    </row>
    <row xmlns:x14ac="http://schemas.microsoft.com/office/spreadsheetml/2009/9/ac" r="12" ht="30" x14ac:dyDescent="0.25">
      <c r="A12" s="3" t="s">
        <v>35</v>
      </c>
      <c r="B12" s="11"/>
      <c r="C12" s="11"/>
      <c r="D12" s="11"/>
      <c r="E12" s="2" t="s">
        <v>43</v>
      </c>
      <c r="F12" s="2" t="s">
        <v>43</v>
      </c>
      <c r="G12" s="2" t="s">
        <v>43</v>
      </c>
      <c r="H12" s="11"/>
      <c r="I12" s="11"/>
      <c r="J12" t="s">
        <v>43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0.3190000057220459</v>
      </c>
      <c r="C14" s="11">
        <v>0.042999999999999997</v>
      </c>
      <c r="D14" s="11"/>
      <c r="E14" s="2" t="s">
        <v>43</v>
      </c>
      <c r="F14" s="2" t="s">
        <v>43</v>
      </c>
      <c r="G14" s="2" t="s">
        <v>43</v>
      </c>
      <c r="H14" s="11">
        <v>1</v>
      </c>
      <c r="I14" s="11">
        <v>1</v>
      </c>
      <c r="J14" t="s">
        <v>37</v>
      </c>
    </row>
    <row r="15">
      <c r="A15" s="2" t="s">
        <v>43</v>
      </c>
      <c r="B15" s="11"/>
      <c r="C15" s="11"/>
      <c r="D15" s="11"/>
      <c r="E15" s="2" t="s">
        <v>43</v>
      </c>
      <c r="F15" s="2" t="s">
        <v>43</v>
      </c>
      <c r="G15" s="2" t="s">
        <v>43</v>
      </c>
      <c r="H15" s="11"/>
      <c r="I15" s="11"/>
      <c r="J15" t="s">
        <v>43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43</v>
      </c>
      <c r="F16" s="2" t="s">
        <v>43</v>
      </c>
      <c r="G16" s="2" t="s">
        <v>43</v>
      </c>
      <c r="H16" s="11"/>
      <c r="I16" s="11"/>
      <c r="J16" t="s">
        <v>43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43</v>
      </c>
      <c r="F17" s="2" t="s">
        <v>43</v>
      </c>
      <c r="G17" s="2" t="s">
        <v>43</v>
      </c>
      <c r="H17" s="11"/>
      <c r="I17" s="11"/>
      <c r="J17" t="s">
        <v>43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43</v>
      </c>
      <c r="F18" s="2" t="s">
        <v>43</v>
      </c>
      <c r="G18" s="2" t="s">
        <v>43</v>
      </c>
      <c r="H18" s="11"/>
      <c r="I18" s="11"/>
      <c r="J18" t="s">
        <v>43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43</v>
      </c>
      <c r="F19" s="2" t="s">
        <v>43</v>
      </c>
      <c r="G19" s="2" t="s">
        <v>43</v>
      </c>
      <c r="H19" s="11"/>
      <c r="I19" s="11"/>
      <c r="J19" t="s">
        <v>43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43</v>
      </c>
      <c r="F20" s="2" t="s">
        <v>43</v>
      </c>
      <c r="G20" s="2" t="s">
        <v>43</v>
      </c>
      <c r="H20" s="11"/>
      <c r="I20" s="11"/>
      <c r="J20" t="s">
        <v>43</v>
      </c>
    </row>
    <row r="21">
      <c r="A21" s="2" t="s">
        <v>43</v>
      </c>
      <c r="B21" s="11"/>
      <c r="C21" s="11"/>
      <c r="D21" s="11"/>
      <c r="E21" s="2" t="s">
        <v>43</v>
      </c>
      <c r="F21" s="2" t="s">
        <v>43</v>
      </c>
      <c r="G21" s="2" t="s">
        <v>43</v>
      </c>
      <c r="H21" s="11"/>
      <c r="I21" s="11"/>
      <c r="J21" t="s">
        <v>43</v>
      </c>
    </row>
    <row xmlns:x14ac="http://schemas.microsoft.com/office/spreadsheetml/2009/9/ac" r="22" ht="30" x14ac:dyDescent="0.25">
      <c r="A22" s="3" t="s">
        <v>38</v>
      </c>
      <c r="B22" s="11"/>
      <c r="C22" s="11"/>
      <c r="D22" s="11"/>
      <c r="E22" s="2" t="s">
        <v>43</v>
      </c>
      <c r="F22" s="2" t="s">
        <v>43</v>
      </c>
      <c r="G22" s="2" t="s">
        <v>43</v>
      </c>
      <c r="H22" s="11"/>
      <c r="I22" s="11"/>
      <c r="J22" t="s">
        <v>43</v>
      </c>
    </row>
    <row xmlns:x14ac="http://schemas.microsoft.com/office/spreadsheetml/2009/9/ac" r="23" ht="30" x14ac:dyDescent="0.25">
      <c r="A23" s="1" t="s">
        <v>0</v>
      </c>
      <c r="B23" s="11"/>
      <c r="C23" s="11"/>
      <c r="D23" s="11"/>
      <c r="E23" s="1" t="s">
        <v>4</v>
      </c>
      <c r="F23" s="1" t="s">
        <v>5</v>
      </c>
      <c r="G23" s="1" t="s">
        <v>6</v>
      </c>
      <c r="H23" s="11"/>
      <c r="I23" s="11"/>
      <c r="J23" s="8" t="s">
        <v>13</v>
      </c>
    </row>
    <row xmlns:x14ac="http://schemas.microsoft.com/office/spreadsheetml/2009/9/ac" r="24" x14ac:dyDescent="0.25">
      <c r="A24" s="2" t="s">
        <v>39</v>
      </c>
      <c r="B24" s="11">
        <v>0.46000000000000002</v>
      </c>
      <c r="C24" s="11">
        <v>0.089999999999999997</v>
      </c>
      <c r="D24" s="11"/>
      <c r="E24" s="2" t="s">
        <v>43</v>
      </c>
      <c r="F24" s="2" t="s">
        <v>43</v>
      </c>
      <c r="G24" s="2" t="s">
        <v>43</v>
      </c>
      <c r="H24" s="11">
        <v>0</v>
      </c>
      <c r="I24" s="11">
        <v>1</v>
      </c>
      <c r="J24" t="s">
        <v>40</v>
      </c>
    </row>
    <row r="25">
      <c r="A25" s="2" t="s">
        <v>43</v>
      </c>
      <c r="B25" s="11"/>
      <c r="C25" s="11"/>
      <c r="D25" s="11"/>
      <c r="E25" s="2" t="s">
        <v>43</v>
      </c>
      <c r="F25" s="2" t="s">
        <v>43</v>
      </c>
      <c r="G25" s="2" t="s">
        <v>43</v>
      </c>
      <c r="H25" s="11"/>
      <c r="I25" s="11"/>
      <c r="J25" t="s">
        <v>43</v>
      </c>
    </row>
    <row xmlns:x14ac="http://schemas.microsoft.com/office/spreadsheetml/2009/9/ac" r="26" x14ac:dyDescent="0.25">
      <c r="A26" s="4" t="s">
        <v>24</v>
      </c>
      <c r="B26" s="11"/>
      <c r="C26" s="11"/>
      <c r="D26" s="11"/>
      <c r="E26" s="2" t="s">
        <v>43</v>
      </c>
      <c r="F26" s="2" t="s">
        <v>43</v>
      </c>
      <c r="G26" s="2" t="s">
        <v>43</v>
      </c>
      <c r="H26" s="11"/>
      <c r="I26" s="11"/>
      <c r="J26" t="s">
        <v>43</v>
      </c>
    </row>
    <row xmlns:x14ac="http://schemas.microsoft.com/office/spreadsheetml/2009/9/ac" r="27" x14ac:dyDescent="0.25">
      <c r="A27" s="5" t="s">
        <v>16</v>
      </c>
      <c r="B27" s="11"/>
      <c r="C27" s="11"/>
      <c r="D27" s="11"/>
      <c r="E27" s="2" t="s">
        <v>43</v>
      </c>
      <c r="F27" s="2" t="s">
        <v>43</v>
      </c>
      <c r="G27" s="2" t="s">
        <v>43</v>
      </c>
      <c r="H27" s="11"/>
      <c r="I27" s="11"/>
      <c r="J27" t="s">
        <v>43</v>
      </c>
    </row>
    <row xmlns:x14ac="http://schemas.microsoft.com/office/spreadsheetml/2009/9/ac" r="28" x14ac:dyDescent="0.25">
      <c r="A28" s="5" t="s">
        <v>17</v>
      </c>
      <c r="B28" s="11"/>
      <c r="C28" s="11"/>
      <c r="D28" s="11"/>
      <c r="E28" s="2" t="s">
        <v>43</v>
      </c>
      <c r="F28" s="2" t="s">
        <v>43</v>
      </c>
      <c r="G28" s="2" t="s">
        <v>43</v>
      </c>
      <c r="H28" s="11"/>
      <c r="I28" s="11"/>
      <c r="J28" t="s">
        <v>43</v>
      </c>
    </row>
    <row xmlns:x14ac="http://schemas.microsoft.com/office/spreadsheetml/2009/9/ac" r="29" x14ac:dyDescent="0.25">
      <c r="A29" s="5" t="s">
        <v>19</v>
      </c>
      <c r="B29" s="11"/>
      <c r="C29" s="11"/>
      <c r="D29" s="11"/>
      <c r="E29" s="2" t="s">
        <v>43</v>
      </c>
      <c r="F29" s="2" t="s">
        <v>43</v>
      </c>
      <c r="G29" s="2" t="s">
        <v>43</v>
      </c>
      <c r="H29" s="11"/>
      <c r="I29" s="11"/>
      <c r="J29" t="s">
        <v>43</v>
      </c>
    </row>
    <row xmlns:x14ac="http://schemas.microsoft.com/office/spreadsheetml/2009/9/ac" r="30" x14ac:dyDescent="0.25">
      <c r="A30" s="5" t="s">
        <v>21</v>
      </c>
      <c r="B30" s="11"/>
      <c r="C30" s="11"/>
      <c r="D30" s="11"/>
      <c r="E30" s="2" t="s">
        <v>43</v>
      </c>
      <c r="F30" s="2" t="s">
        <v>43</v>
      </c>
      <c r="G30" s="2" t="s">
        <v>43</v>
      </c>
      <c r="H30" s="11"/>
      <c r="I30" s="11"/>
      <c r="J3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3" sqref="A3:XFD3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ht="30" x14ac:dyDescent="0.25">
      <c r="A2" s="2" t="s">
        <v>28</v>
      </c>
      <c r="B2" s="2" t="s">
        <v>29</v>
      </c>
      <c r="C2" s="2">
        <f>-raw_data!B14</f>
        <v>-0.31900000000000001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2024-05-02T02:49:04Z</dcterms:modified>
</cp:coreProperties>
</file>