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466182E4-AF62-4C26-9B71-7593CD365D59}" xr6:coauthVersionLast="47" xr6:coauthVersionMax="47" xr10:uidLastSave="{00000000-0000-0000-0000-000000000000}"/>
  <bookViews>
    <workbookView xWindow="0" yWindow="900" windowWidth="28800" windowHeight="1530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<sst xmlns="http://schemas.openxmlformats.org/spreadsheetml/2006/main" xmlns:r="http://schemas.openxmlformats.org/officeDocument/2006/relationships" xmlns:xdr="http://schemas.openxmlformats.org/drawingml/2006/spreadsheetDrawing" count="242" uniqueCount="41">
  <si>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</si>
  <si>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</si>
  <si>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</si>
  <si>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</si>
  <si>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</si>
  <si>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</si>
  <si>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</si>
  <si>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</si>
  <si>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</si>
  <si>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</si>
  <si>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</si>
  <si>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</si>
  <si>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</si>
  <si>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</si>
  <si>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</si>
  <si>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</si>
  <si>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</si>
  <si>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</si>
  <si>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</si>
  <si>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</si>
  <si>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</si>
  <si>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</si>
  <si>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</si>
  <si>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</si>
  <si>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</si>
  <si>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</si>
  <si>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</si>
  <si>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</si>
  <si>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Demand elasticity of solar photovoltaics</t>
  </si>
  <si>
    <t>Click on "Supplemental information" and Download "Document S2. Article plus supplemental information" to get the version with Table S20</t>
  </si>
  <si>
    <t>Table S20 Column 1 Rows 1-2 , p.97</t>
  </si>
  <si>
    <t>TIESSI AND VERDE DATA FOR DEMAND ELAS.</t>
  </si>
  <si>
    <t>WAY ET AL. DATA FOR BATTERY LBD:</t>
  </si>
  <si>
    <t>Flip sign on LBD effect</t>
  </si>
  <si>
    <t xml:space="preserve">Multiply by -1 </t>
  </si>
  <si>
    <t>e_demand_gas</t>
  </si>
  <si>
    <t>https://www.jstor.org/stable/41323146</t>
  </si>
  <si>
    <t>note</t>
  </si>
  <si>
    <t>you get .009 if you look at the earlier table 1</t>
  </si>
  <si>
    <t>Table 3, Column 3 Row 1, p. 121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</si>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</sst>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jstor.org/stable/41323146" Type="http://schemas.openxmlformats.org/officeDocument/2006/relationships/hyperlink" Id="rId2"/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F17" sqref="F17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35</v>
      </c>
      <c r="B2">
        <f>raw_data!B3</f>
        <v>-4.2000000000000003E-2</v>
      </c>
      <c r="C2">
        <f>raw_data!C3</f>
        <v>7.0000000000000001E-3</v>
      </c>
      <c r="H2">
        <v>1</v>
      </c>
      <c r="I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tabSelected="true" workbookViewId="0">
      <selection activeCell="P6" sqref="P6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31</v>
      </c>
      <c r="B1" s="11"/>
      <c r="C1" s="11"/>
      <c r="D1" s="11"/>
      <c r="E1" s="2" t="s">
        <v>40</v>
      </c>
      <c r="F1" s="2" t="s">
        <v>40</v>
      </c>
      <c r="G1" s="2" t="s">
        <v>40</v>
      </c>
      <c r="H1" s="11"/>
      <c r="I1" s="11"/>
      <c r="J1" t="s">
        <v>40</v>
      </c>
      <c r="K1" s="2" t="s">
        <v>40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  <c r="K2" s="2" t="s">
        <v>37</v>
      </c>
    </row>
    <row xmlns:x14ac="http://schemas.microsoft.com/office/spreadsheetml/2009/9/ac" r="3" ht="30" x14ac:dyDescent="0.25">
      <c r="A3" s="2" t="s">
        <v>28</v>
      </c>
      <c r="B3" s="11">
        <v>-0.041999299079179764</v>
      </c>
      <c r="C3" s="11">
        <v>0.0070000000000000001</v>
      </c>
      <c r="D3" s="11"/>
      <c r="E3" s="2" t="s">
        <v>40</v>
      </c>
      <c r="F3" s="2" t="s">
        <v>40</v>
      </c>
      <c r="G3" s="2" t="s">
        <v>40</v>
      </c>
      <c r="H3" s="11">
        <v>1</v>
      </c>
      <c r="I3" s="11">
        <v>1</v>
      </c>
      <c r="J3" t="s">
        <v>39</v>
      </c>
      <c r="K3" s="2" t="s">
        <v>38</v>
      </c>
    </row>
    <row r="4">
      <c r="A4" s="2" t="s">
        <v>40</v>
      </c>
      <c r="B4" s="11"/>
      <c r="C4" s="11"/>
      <c r="D4" s="11"/>
      <c r="E4" s="2" t="s">
        <v>40</v>
      </c>
      <c r="F4" s="2" t="s">
        <v>40</v>
      </c>
      <c r="G4" s="2" t="s">
        <v>40</v>
      </c>
      <c r="H4" s="11"/>
      <c r="I4" s="11"/>
      <c r="J4" t="s">
        <v>40</v>
      </c>
      <c r="K4" s="2" t="s">
        <v>40</v>
      </c>
    </row>
    <row r="5">
      <c r="A5" s="2" t="s">
        <v>40</v>
      </c>
      <c r="B5" s="11"/>
      <c r="C5" s="11"/>
      <c r="D5" s="11"/>
      <c r="E5" s="2" t="s">
        <v>40</v>
      </c>
      <c r="F5" s="2" t="s">
        <v>40</v>
      </c>
      <c r="G5" s="2" t="s">
        <v>40</v>
      </c>
      <c r="H5" s="11"/>
      <c r="I5" s="11"/>
      <c r="J5" t="s">
        <v>40</v>
      </c>
      <c r="K5" s="2" t="s">
        <v>40</v>
      </c>
    </row>
    <row r="6">
      <c r="A6" s="2" t="s">
        <v>40</v>
      </c>
      <c r="B6" s="11"/>
      <c r="C6" s="11"/>
      <c r="D6" s="11"/>
      <c r="E6" s="2" t="s">
        <v>40</v>
      </c>
      <c r="F6" s="2" t="s">
        <v>40</v>
      </c>
      <c r="G6" s="2" t="s">
        <v>40</v>
      </c>
      <c r="H6" s="11"/>
      <c r="I6" s="11"/>
      <c r="J6" t="s">
        <v>40</v>
      </c>
      <c r="K6" s="2" t="s">
        <v>40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40</v>
      </c>
      <c r="F7" s="2" t="s">
        <v>40</v>
      </c>
      <c r="G7" s="2" t="s">
        <v>40</v>
      </c>
      <c r="H7" s="11"/>
      <c r="I7" s="11"/>
      <c r="J7" t="s">
        <v>40</v>
      </c>
      <c r="K7" s="2" t="s">
        <v>40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40</v>
      </c>
      <c r="F8" s="2" t="s">
        <v>40</v>
      </c>
      <c r="G8" s="2" t="s">
        <v>40</v>
      </c>
      <c r="H8" s="11"/>
      <c r="I8" s="11"/>
      <c r="J8" t="s">
        <v>40</v>
      </c>
      <c r="K8" s="2" t="s">
        <v>40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40</v>
      </c>
      <c r="F9" s="2" t="s">
        <v>40</v>
      </c>
      <c r="G9" s="2" t="s">
        <v>40</v>
      </c>
      <c r="H9" s="11"/>
      <c r="I9" s="11"/>
      <c r="J9" t="s">
        <v>40</v>
      </c>
      <c r="K9" s="2" t="s">
        <v>40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40</v>
      </c>
      <c r="F10" s="2" t="s">
        <v>40</v>
      </c>
      <c r="G10" s="2" t="s">
        <v>40</v>
      </c>
      <c r="H10" s="11"/>
      <c r="I10" s="11"/>
      <c r="J10" t="s">
        <v>40</v>
      </c>
      <c r="K10" s="2" t="s">
        <v>40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40</v>
      </c>
      <c r="F11" s="2" t="s">
        <v>40</v>
      </c>
      <c r="G11" s="2" t="s">
        <v>40</v>
      </c>
      <c r="H11" s="11"/>
      <c r="I11" s="11"/>
      <c r="J11" t="s">
        <v>40</v>
      </c>
      <c r="K11" s="2" t="s">
        <v>40</v>
      </c>
    </row>
    <row xmlns:x14ac="http://schemas.microsoft.com/office/spreadsheetml/2009/9/ac" r="12" ht="30" x14ac:dyDescent="0.25">
      <c r="A12" s="3" t="s">
        <v>32</v>
      </c>
      <c r="B12" s="11"/>
      <c r="C12" s="11"/>
      <c r="D12" s="11"/>
      <c r="E12" s="2" t="s">
        <v>40</v>
      </c>
      <c r="F12" s="2" t="s">
        <v>40</v>
      </c>
      <c r="G12" s="2" t="s">
        <v>40</v>
      </c>
      <c r="H12" s="11"/>
      <c r="I12" s="11"/>
      <c r="J12" t="s">
        <v>40</v>
      </c>
      <c r="K12" s="2" t="s">
        <v>40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  <c r="K13" s="2" t="s">
        <v>40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40</v>
      </c>
      <c r="F14" s="2" t="s">
        <v>40</v>
      </c>
      <c r="G14" s="2" t="s">
        <v>40</v>
      </c>
      <c r="H14" s="11">
        <v>1</v>
      </c>
      <c r="I14" s="11">
        <v>1</v>
      </c>
      <c r="J14" t="s">
        <v>30</v>
      </c>
      <c r="K14" s="2" t="s">
        <v>40</v>
      </c>
    </row>
    <row r="15">
      <c r="A15" s="2" t="s">
        <v>40</v>
      </c>
      <c r="B15" s="11"/>
      <c r="C15" s="11"/>
      <c r="D15" s="11"/>
      <c r="E15" s="2" t="s">
        <v>40</v>
      </c>
      <c r="F15" s="2" t="s">
        <v>40</v>
      </c>
      <c r="G15" s="2" t="s">
        <v>40</v>
      </c>
      <c r="H15" s="11"/>
      <c r="I15" s="11"/>
      <c r="J15" t="s">
        <v>40</v>
      </c>
      <c r="K15" s="2" t="s">
        <v>40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40</v>
      </c>
      <c r="F16" s="2" t="s">
        <v>40</v>
      </c>
      <c r="G16" s="2" t="s">
        <v>40</v>
      </c>
      <c r="H16" s="11"/>
      <c r="I16" s="11"/>
      <c r="J16" t="s">
        <v>40</v>
      </c>
      <c r="K16" s="2" t="s">
        <v>40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40</v>
      </c>
      <c r="F17" s="2" t="s">
        <v>40</v>
      </c>
      <c r="G17" s="2" t="s">
        <v>40</v>
      </c>
      <c r="H17" s="11"/>
      <c r="I17" s="11"/>
      <c r="J17" t="s">
        <v>40</v>
      </c>
      <c r="K17" s="2" t="s">
        <v>40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40</v>
      </c>
      <c r="F18" s="2" t="s">
        <v>40</v>
      </c>
      <c r="G18" s="2" t="s">
        <v>40</v>
      </c>
      <c r="H18" s="11"/>
      <c r="I18" s="11"/>
      <c r="J18" t="s">
        <v>40</v>
      </c>
      <c r="K18" s="2" t="s">
        <v>40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40</v>
      </c>
      <c r="F19" s="2" t="s">
        <v>40</v>
      </c>
      <c r="G19" s="2" t="s">
        <v>40</v>
      </c>
      <c r="H19" s="11"/>
      <c r="I19" s="11"/>
      <c r="J19" t="s">
        <v>40</v>
      </c>
      <c r="K19" s="2" t="s">
        <v>40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40</v>
      </c>
      <c r="F20" s="2" t="s">
        <v>40</v>
      </c>
      <c r="G20" s="2" t="s">
        <v>40</v>
      </c>
      <c r="H20" s="11"/>
      <c r="I20" s="11"/>
      <c r="J20" t="s">
        <v>40</v>
      </c>
      <c r="K20" s="2" t="s">
        <v>40</v>
      </c>
    </row>
    <row r="21">
      <c r="A21" s="2" t="s">
        <v>40</v>
      </c>
      <c r="B21" s="11"/>
      <c r="C21" s="11"/>
      <c r="D21" s="11"/>
      <c r="E21" s="2" t="s">
        <v>40</v>
      </c>
      <c r="F21" s="2" t="s">
        <v>40</v>
      </c>
      <c r="G21" s="2" t="s">
        <v>40</v>
      </c>
      <c r="H21" s="11"/>
      <c r="I21" s="11"/>
      <c r="J21" t="s">
        <v>40</v>
      </c>
      <c r="K21" s="2" t="s">
        <v>40</v>
      </c>
    </row>
    <row xmlns:x14ac="http://schemas.microsoft.com/office/spreadsheetml/2009/9/ac" r="22" x14ac:dyDescent="0.25">
      <c r="A22" s="3" t="s">
        <v>40</v>
      </c>
      <c r="B22" s="11"/>
      <c r="C22" s="11"/>
      <c r="D22" s="11"/>
      <c r="E22" s="2" t="s">
        <v>40</v>
      </c>
      <c r="F22" s="2" t="s">
        <v>40</v>
      </c>
      <c r="G22" s="2" t="s">
        <v>40</v>
      </c>
      <c r="H22" s="11"/>
      <c r="I22" s="11"/>
      <c r="J22" t="s">
        <v>40</v>
      </c>
      <c r="K22" s="2" t="s">
        <v>40</v>
      </c>
    </row>
    <row xmlns:x14ac="http://schemas.microsoft.com/office/spreadsheetml/2009/9/ac" r="23" x14ac:dyDescent="0.25">
      <c r="A23" s="1" t="s">
        <v>40</v>
      </c>
      <c r="B23" s="11"/>
      <c r="C23" s="11"/>
      <c r="D23" s="11"/>
      <c r="E23" s="1" t="s">
        <v>40</v>
      </c>
      <c r="F23" s="1" t="s">
        <v>40</v>
      </c>
      <c r="G23" s="1" t="s">
        <v>40</v>
      </c>
      <c r="H23" s="11"/>
      <c r="I23" s="11"/>
      <c r="J23" s="8" t="s">
        <v>40</v>
      </c>
      <c r="K23" s="2" t="s">
        <v>40</v>
      </c>
    </row>
    <row r="24">
      <c r="A24" s="2" t="s">
        <v>40</v>
      </c>
      <c r="B24" s="11"/>
      <c r="C24" s="11"/>
      <c r="D24" s="11"/>
      <c r="E24" s="2" t="s">
        <v>40</v>
      </c>
      <c r="F24" s="2" t="s">
        <v>40</v>
      </c>
      <c r="G24" s="2" t="s">
        <v>40</v>
      </c>
      <c r="H24" s="11"/>
      <c r="I24" s="11"/>
      <c r="J24" t="s">
        <v>40</v>
      </c>
      <c r="K24" s="2" t="s">
        <v>40</v>
      </c>
    </row>
    <row r="25">
      <c r="A25" s="2" t="s">
        <v>40</v>
      </c>
      <c r="B25" s="11"/>
      <c r="C25" s="11"/>
      <c r="D25" s="11"/>
      <c r="E25" s="2" t="s">
        <v>40</v>
      </c>
      <c r="F25" s="2" t="s">
        <v>40</v>
      </c>
      <c r="G25" s="2" t="s">
        <v>40</v>
      </c>
      <c r="H25" s="11"/>
      <c r="I25" s="11"/>
      <c r="J25" t="s">
        <v>40</v>
      </c>
      <c r="K25" s="2" t="s">
        <v>40</v>
      </c>
    </row>
    <row xmlns:x14ac="http://schemas.microsoft.com/office/spreadsheetml/2009/9/ac" r="26" x14ac:dyDescent="0.25">
      <c r="A26" s="4" t="s">
        <v>40</v>
      </c>
      <c r="B26" s="11"/>
      <c r="C26" s="11"/>
      <c r="D26" s="11"/>
      <c r="E26" s="2" t="s">
        <v>40</v>
      </c>
      <c r="F26" s="2" t="s">
        <v>40</v>
      </c>
      <c r="G26" s="2" t="s">
        <v>40</v>
      </c>
      <c r="H26" s="11"/>
      <c r="I26" s="11"/>
      <c r="J26" t="s">
        <v>40</v>
      </c>
      <c r="K26" s="2" t="s">
        <v>40</v>
      </c>
    </row>
    <row xmlns:x14ac="http://schemas.microsoft.com/office/spreadsheetml/2009/9/ac" r="27" x14ac:dyDescent="0.25">
      <c r="A27" s="5" t="s">
        <v>40</v>
      </c>
      <c r="B27" s="11"/>
      <c r="C27" s="11"/>
      <c r="D27" s="11"/>
      <c r="E27" s="2" t="s">
        <v>40</v>
      </c>
      <c r="F27" s="2" t="s">
        <v>40</v>
      </c>
      <c r="G27" s="2" t="s">
        <v>40</v>
      </c>
      <c r="H27" s="11"/>
      <c r="I27" s="11"/>
      <c r="J27" t="s">
        <v>40</v>
      </c>
      <c r="K27" s="2" t="s">
        <v>40</v>
      </c>
    </row>
    <row xmlns:x14ac="http://schemas.microsoft.com/office/spreadsheetml/2009/9/ac" r="28" x14ac:dyDescent="0.25">
      <c r="A28" s="5" t="s">
        <v>40</v>
      </c>
      <c r="B28" s="11"/>
      <c r="C28" s="11"/>
      <c r="D28" s="11"/>
      <c r="E28" s="2" t="s">
        <v>40</v>
      </c>
      <c r="F28" s="2" t="s">
        <v>40</v>
      </c>
      <c r="G28" s="2" t="s">
        <v>40</v>
      </c>
      <c r="H28" s="11"/>
      <c r="I28" s="11"/>
      <c r="J28" t="s">
        <v>40</v>
      </c>
      <c r="K28" s="2" t="s">
        <v>40</v>
      </c>
    </row>
    <row xmlns:x14ac="http://schemas.microsoft.com/office/spreadsheetml/2009/9/ac" r="29" x14ac:dyDescent="0.25">
      <c r="A29" s="5" t="s">
        <v>40</v>
      </c>
      <c r="B29" s="11"/>
      <c r="C29" s="11"/>
      <c r="D29" s="11"/>
      <c r="E29" s="2" t="s">
        <v>40</v>
      </c>
      <c r="F29" s="2" t="s">
        <v>40</v>
      </c>
      <c r="G29" s="2" t="s">
        <v>40</v>
      </c>
      <c r="H29" s="11"/>
      <c r="I29" s="11"/>
      <c r="J29" t="s">
        <v>40</v>
      </c>
      <c r="K29" s="2" t="s">
        <v>40</v>
      </c>
    </row>
    <row xmlns:x14ac="http://schemas.microsoft.com/office/spreadsheetml/2009/9/ac" r="30" x14ac:dyDescent="0.25">
      <c r="A30" s="5" t="s">
        <v>40</v>
      </c>
      <c r="B30" s="11"/>
      <c r="C30" s="11"/>
      <c r="D30" s="11"/>
      <c r="E30" s="2" t="s">
        <v>40</v>
      </c>
      <c r="F30" s="2" t="s">
        <v>40</v>
      </c>
      <c r="G30" s="2" t="s">
        <v>40</v>
      </c>
      <c r="H30" s="11"/>
      <c r="I30" s="11"/>
      <c r="J30" t="s">
        <v>40</v>
      </c>
      <c r="K30" s="2" t="s">
        <v>40</v>
      </c>
    </row>
  </sheetData>
  <hyperlinks>
    <hyperlink ref="B17" r:id="rId1" location="appsec2"/>
    <hyperlink ref="B8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33</v>
      </c>
      <c r="B2" s="2" t="s">
        <v>34</v>
      </c>
      <c r="C2" s="2">
        <f>-raw_data!B14</f>
        <v>-0.42099999999999999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2024-05-14T14:47:54Z</dcterms:modified>
</cp:coreProperties>
</file>