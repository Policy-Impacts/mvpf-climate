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Regulation\code_files\2a_causal_estimates_papers\uncorrected_vJK\"/>
    </mc:Choice>
  </mc:AlternateContent>
  <xr:revisionPtr revIDLastSave="0" documentId="13_ncr:1_{548A5A90-7525-4646-8B2D-84D617DE58DC}" xr6:coauthVersionLast="47" xr6:coauthVersionMax="47" xr10:uidLastSave="{00000000-0000-0000-0000-000000000000}"/>
  <bookViews>
    <workbookView xWindow="1380" yWindow="4065" windowWidth="21600" windowHeight="11265" activeTab="2"/>
  </bookViews>
  <sheets>
    <sheet name="wrapper_ready" sheetId="1" r:id="rId1"/>
    <sheet name="raw_data" sheetId="2" r:id="rId2"/>
    <sheet name="cites" sheetId="4" r:id="rId3"/>
    <sheet name="calculations" sheetId="3" r:id="rId4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<sst xmlns="http://schemas.openxmlformats.org/spreadsheetml/2006/main" xmlns:r="http://schemas.openxmlformats.org/officeDocument/2006/relationships" xmlns:xdr="http://schemas.openxmlformats.org/drawingml/2006/spreadsheetDrawing" count="113" uniqueCount="35">
  <si>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</si>
  <si>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</si>
  <si>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</si>
  <si>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</si>
  <si>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</si>
  <si>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</si>
  <si>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</si>
  <si>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</si>
  <si>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</si>
  <si>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</si>
  <si>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</si>
  <si>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</si>
  <si>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</si>
  <si>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</si>
  <si>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</si>
  <si>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</si>
  <si>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</si>
  <si>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</si>
  <si>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</si>
  <si>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</si>
  <si>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>Calculation</t>
  </si>
  <si>
    <t>Description</t>
  </si>
  <si>
    <t xml:space="preserve">Value </t>
  </si>
  <si>
    <t>https://efis.psc.mo.gov/Document/Display/772740</t>
  </si>
  <si>
    <t xml:space="preserve">Days of driving remaining, eligible group </t>
  </si>
  <si>
    <t>VMT remaining, eligible group</t>
  </si>
  <si>
    <t xml:space="preserve">Table 2 Column 1 Row 2 , p.266 </t>
  </si>
  <si>
    <t xml:space="preserve">Table 2 Column 1 Row 1 , p.266 </t>
  </si>
  <si>
    <t>None</t>
  </si>
  <si>
    <t>days_accelerated</t>
  </si>
  <si>
    <t>miles_abated</t>
  </si>
  <si>
    <t>notes</t>
  </si>
  <si>
    <t>Name</t>
  </si>
  <si>
    <t>Blonz 18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</si>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</sst>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19" fillId="0" borderId="0" applyNumberFormat="false" applyFill="false" applyBorder="false" applyAlignment="false" applyProtection="false"/>
  </cellStyleXfs>
  <cellXfs count="9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19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?><Relationships xmlns="http://schemas.openxmlformats.org/package/2006/relationships"><Relationship TargetMode="External" Target="https://efis.psc.mo.gov/Document/Display/772740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C3" sqref="C3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29</v>
      </c>
      <c r="B2">
        <f>raw_data!B2</f>
        <v>1394.2</v>
      </c>
      <c r="C2">
        <f>raw_data!C2</f>
        <v>9.5090000000000003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30</v>
      </c>
      <c r="B3">
        <f>raw_data!B3</f>
        <v>16027.6</v>
      </c>
      <c r="C3">
        <f>raw_data!C3</f>
        <v>161</v>
      </c>
      <c r="H3">
        <v>1</v>
      </c>
      <c r="I3">
        <v>1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L6" sqref="L6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9.5703125" style="2" customWidth="true"/>
    <col min="10" max="10" width="9.140625" customWidth="true"/>
    <col min="11" max="16384" width="8.7109375" style="2"/>
  </cols>
  <sheetData>
    <row xmlns:x14ac="http://schemas.microsoft.com/office/spreadsheetml/2009/9/ac" r="1" ht="30" x14ac:dyDescent="0.25">
      <c r="A1" s="1" t="s">
        <v>0</v>
      </c>
      <c r="B1" s="8"/>
      <c r="C1" s="8"/>
      <c r="D1" s="8"/>
      <c r="E1" s="1" t="s">
        <v>4</v>
      </c>
      <c r="F1" s="1" t="s">
        <v>5</v>
      </c>
      <c r="G1" s="1" t="s">
        <v>6</v>
      </c>
      <c r="H1" s="8"/>
      <c r="I1" s="8"/>
      <c r="J1" s="6" t="s">
        <v>12</v>
      </c>
      <c r="K1" s="1" t="s">
        <v>31</v>
      </c>
      <c r="L1" s="8"/>
    </row>
    <row xmlns:x14ac="http://schemas.microsoft.com/office/spreadsheetml/2009/9/ac" r="2" x14ac:dyDescent="0.25">
      <c r="A2" s="2" t="s">
        <v>24</v>
      </c>
      <c r="B2" s="8">
        <v>1394.199951171875</v>
      </c>
      <c r="C2" s="8">
        <v>9.5090000000000003</v>
      </c>
      <c r="D2" s="8"/>
      <c r="E2" s="3" t="s">
        <v>34</v>
      </c>
      <c r="F2" s="2" t="s">
        <v>34</v>
      </c>
      <c r="G2" s="2" t="s">
        <v>34</v>
      </c>
      <c r="H2" s="8">
        <v>1</v>
      </c>
      <c r="I2" s="8">
        <v>1</v>
      </c>
      <c r="J2" t="s">
        <v>26</v>
      </c>
      <c r="K2" s="2" t="s">
        <v>34</v>
      </c>
      <c r="L2" s="8"/>
    </row>
    <row xmlns:x14ac="http://schemas.microsoft.com/office/spreadsheetml/2009/9/ac" r="3" x14ac:dyDescent="0.25">
      <c r="A3" s="2" t="s">
        <v>25</v>
      </c>
      <c r="B3" s="8">
        <v>16027.599609375</v>
      </c>
      <c r="C3" s="8">
        <v>161</v>
      </c>
      <c r="D3" s="8"/>
      <c r="E3" s="2" t="s">
        <v>34</v>
      </c>
      <c r="F3" s="2" t="s">
        <v>34</v>
      </c>
      <c r="G3" s="2" t="s">
        <v>34</v>
      </c>
      <c r="H3" s="8">
        <v>1</v>
      </c>
      <c r="I3" s="8">
        <v>1</v>
      </c>
      <c r="J3" t="s">
        <v>27</v>
      </c>
      <c r="K3" s="2" t="s">
        <v>34</v>
      </c>
      <c r="L3" s="8"/>
    </row>
    <row r="4">
      <c r="A4" s="2" t="s">
        <v>34</v>
      </c>
      <c r="B4" s="8"/>
      <c r="C4" s="8"/>
      <c r="D4" s="8"/>
      <c r="E4" s="2" t="s">
        <v>34</v>
      </c>
      <c r="F4" s="2" t="s">
        <v>34</v>
      </c>
      <c r="G4" s="2" t="s">
        <v>34</v>
      </c>
      <c r="H4" s="8"/>
      <c r="I4" s="8"/>
      <c r="J4" t="s">
        <v>34</v>
      </c>
      <c r="K4" s="2" t="s">
        <v>34</v>
      </c>
      <c r="L4" s="8"/>
    </row>
    <row xmlns:x14ac="http://schemas.microsoft.com/office/spreadsheetml/2009/9/ac" r="5" x14ac:dyDescent="0.25">
      <c r="A5" s="2" t="s">
        <v>34</v>
      </c>
      <c r="B5" s="8"/>
      <c r="C5" s="8"/>
      <c r="D5" s="8"/>
      <c r="E5" s="1" t="s">
        <v>34</v>
      </c>
      <c r="F5" s="1" t="s">
        <v>34</v>
      </c>
      <c r="G5" s="1" t="s">
        <v>34</v>
      </c>
      <c r="H5" s="8"/>
      <c r="I5" s="8"/>
      <c r="J5" s="6" t="s">
        <v>34</v>
      </c>
      <c r="K5" s="2" t="s">
        <v>34</v>
      </c>
      <c r="L5" s="8"/>
    </row>
    <row r="6">
      <c r="A6" s="2" t="s">
        <v>34</v>
      </c>
      <c r="B6" s="8"/>
      <c r="C6" s="8"/>
      <c r="D6" s="8"/>
      <c r="E6" s="2" t="s">
        <v>34</v>
      </c>
      <c r="F6" s="2" t="s">
        <v>34</v>
      </c>
      <c r="G6" s="2" t="s">
        <v>34</v>
      </c>
      <c r="H6" s="8"/>
      <c r="I6" s="8"/>
      <c r="J6" t="s">
        <v>34</v>
      </c>
      <c r="K6" s="2" t="s">
        <v>34</v>
      </c>
      <c r="L6" s="8"/>
    </row>
    <row r="7">
      <c r="A7" s="2" t="s">
        <v>34</v>
      </c>
      <c r="B7" s="8"/>
      <c r="C7" s="8"/>
      <c r="D7" s="8"/>
      <c r="E7" s="2" t="s">
        <v>34</v>
      </c>
      <c r="F7" s="2" t="s">
        <v>34</v>
      </c>
      <c r="G7" s="2" t="s">
        <v>34</v>
      </c>
      <c r="H7" s="8"/>
      <c r="I7" s="8"/>
      <c r="J7" t="s">
        <v>34</v>
      </c>
      <c r="K7" s="2" t="s">
        <v>34</v>
      </c>
      <c r="L7" s="8"/>
    </row>
    <row r="8">
      <c r="A8" s="2" t="s">
        <v>34</v>
      </c>
      <c r="B8" s="8"/>
      <c r="C8" s="8"/>
      <c r="D8" s="8"/>
      <c r="E8" s="2" t="s">
        <v>34</v>
      </c>
      <c r="F8" s="2" t="s">
        <v>34</v>
      </c>
      <c r="G8" s="2" t="s">
        <v>34</v>
      </c>
      <c r="H8" s="8"/>
      <c r="I8" s="8"/>
      <c r="J8" t="s">
        <v>34</v>
      </c>
      <c r="K8" s="2" t="s">
        <v>34</v>
      </c>
      <c r="L8" s="8"/>
    </row>
    <row r="9">
      <c r="A9" s="2" t="s">
        <v>34</v>
      </c>
      <c r="B9" s="8"/>
      <c r="C9" s="8"/>
      <c r="D9" s="8"/>
      <c r="E9" s="2" t="s">
        <v>34</v>
      </c>
      <c r="F9" s="2" t="s">
        <v>34</v>
      </c>
      <c r="G9" s="2" t="s">
        <v>34</v>
      </c>
      <c r="H9" s="8"/>
      <c r="I9" s="8"/>
      <c r="J9" t="s">
        <v>34</v>
      </c>
      <c r="K9" s="2" t="s">
        <v>34</v>
      </c>
      <c r="L9" s="8"/>
    </row>
    <row r="10">
      <c r="A10" s="2" t="s">
        <v>34</v>
      </c>
      <c r="B10" s="8"/>
      <c r="C10" s="8"/>
      <c r="D10" s="8"/>
      <c r="E10" s="2" t="s">
        <v>34</v>
      </c>
      <c r="F10" s="2" t="s">
        <v>34</v>
      </c>
      <c r="G10" s="2" t="s">
        <v>34</v>
      </c>
      <c r="H10" s="8"/>
      <c r="I10" s="8"/>
      <c r="J10" t="s">
        <v>34</v>
      </c>
      <c r="K10" s="2" t="s">
        <v>34</v>
      </c>
      <c r="L10" s="8"/>
    </row>
    <row xmlns:x14ac="http://schemas.microsoft.com/office/spreadsheetml/2009/9/ac" r="11" x14ac:dyDescent="0.25">
      <c r="A11" s="3" t="s">
        <v>34</v>
      </c>
      <c r="B11" s="8"/>
      <c r="C11" s="8"/>
      <c r="D11" s="8"/>
      <c r="E11" s="2" t="s">
        <v>34</v>
      </c>
      <c r="F11" s="2" t="s">
        <v>34</v>
      </c>
      <c r="G11" s="2" t="s">
        <v>34</v>
      </c>
      <c r="H11" s="8"/>
      <c r="I11" s="8"/>
      <c r="J11" t="s">
        <v>34</v>
      </c>
      <c r="K11" s="2" t="s">
        <v>34</v>
      </c>
      <c r="L11" s="8"/>
    </row>
    <row xmlns:x14ac="http://schemas.microsoft.com/office/spreadsheetml/2009/9/ac" r="12" x14ac:dyDescent="0.25">
      <c r="A12" s="3" t="s">
        <v>34</v>
      </c>
      <c r="B12" s="8"/>
      <c r="C12" s="8"/>
      <c r="D12" s="8"/>
      <c r="E12" s="2" t="s">
        <v>34</v>
      </c>
      <c r="F12" s="2" t="s">
        <v>34</v>
      </c>
      <c r="G12" s="2" t="s">
        <v>34</v>
      </c>
      <c r="H12" s="8"/>
      <c r="I12" s="8"/>
      <c r="J12" t="s">
        <v>34</v>
      </c>
      <c r="K12" s="2" t="s">
        <v>34</v>
      </c>
      <c r="L1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FFBA-6DDD-43E6-A860-B6A2E40F2252}">
  <dimension ref="A2:E6"/>
  <sheetViews>
    <sheetView tabSelected="true" workbookViewId="0">
      <selection activeCell="C13" sqref="C13"/>
    </sheetView>
  </sheetViews>
  <sheetFormatPr xmlns:x14ac="http://schemas.microsoft.com/office/spreadsheetml/2009/9/ac" defaultRowHeight="15" x14ac:dyDescent="0.25"/>
  <sheetData>
    <row xmlns:x14ac="http://schemas.microsoft.com/office/spreadsheetml/2009/9/ac" r="2" ht="30" x14ac:dyDescent="0.25">
      <c r="A2" s="3" t="s">
        <v>32</v>
      </c>
      <c r="B2" s="3" t="s">
        <v>15</v>
      </c>
      <c r="C2" s="3" t="s">
        <v>16</v>
      </c>
      <c r="D2" s="3" t="s">
        <v>18</v>
      </c>
      <c r="E2" s="3" t="s">
        <v>19</v>
      </c>
    </row>
    <row xmlns:x14ac="http://schemas.microsoft.com/office/spreadsheetml/2009/9/ac" r="3" x14ac:dyDescent="0.25">
      <c r="A3" t="s">
        <v>33</v>
      </c>
      <c r="B3" s="7" t="s">
        <v>23</v>
      </c>
      <c r="C3" s="4">
        <v>45413</v>
      </c>
      <c r="D3" s="3" t="s">
        <v>17</v>
      </c>
    </row>
    <row xmlns:x14ac="http://schemas.microsoft.com/office/spreadsheetml/2009/9/ac" r="6" x14ac:dyDescent="0.25">
      <c r="A6" s="2"/>
    </row>
  </sheetData>
  <hyperlinks>
    <hyperlink ref="B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2" sqref="A2:XFD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20</v>
      </c>
      <c r="B1" s="1" t="s">
        <v>21</v>
      </c>
      <c r="C1" s="1" t="s">
        <v>22</v>
      </c>
    </row>
    <row xmlns:x14ac="http://schemas.microsoft.com/office/spreadsheetml/2009/9/ac" r="2" x14ac:dyDescent="0.25">
      <c r="A2" s="2" t="s">
        <v>28</v>
      </c>
      <c r="B2" s="2"/>
      <c r="C2" s="2"/>
    </row>
    <row xmlns:x14ac="http://schemas.microsoft.com/office/spreadsheetml/2009/9/ac" r="3" x14ac:dyDescent="0.25">
      <c r="A3" s="2"/>
      <c r="B3" s="2"/>
      <c r="C3" s="2">
        <f>-1*raw_data!B3</f>
        <v>-16027.6</v>
      </c>
    </row>
    <row xmlns:x14ac="http://schemas.microsoft.com/office/spreadsheetml/2009/9/ac" r="4" x14ac:dyDescent="0.25">
      <c r="A4" s="2"/>
      <c r="B4" s="2"/>
      <c r="C4" s="2"/>
    </row>
    <row xmlns:x14ac="http://schemas.microsoft.com/office/spreadsheetml/2009/9/ac" r="5" x14ac:dyDescent="0.2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wrapper_ready</vt:lpstr>
      <vt:lpstr>raw_data</vt:lpstr>
      <vt:lpstr>cites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2024-05-29T21:04:49Z</dcterms:modified>
</cp:coreProperties>
</file>