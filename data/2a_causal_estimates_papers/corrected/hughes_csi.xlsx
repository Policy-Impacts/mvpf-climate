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kelly/Opportunity Insights Dropbox/Jack Kelly/Regulation/code_files/2a_causal_estimates_papers/uncorrected_vJK/"/>
    </mc:Choice>
  </mc:AlternateContent>
  <xr:revisionPtr revIDLastSave="0" documentId="13_ncr:1_{084CBC9A-695D-684B-8E85-1895CFA5410A}" xr6:coauthVersionLast="47" xr6:coauthVersionMax="47" xr10:uidLastSave="{00000000-0000-0000-0000-000000000000}"/>
  <bookViews>
    <workbookView xWindow="2940" yWindow="1500" windowWidth="24700" windowHeight="1612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<sst xmlns="http://schemas.openxmlformats.org/spreadsheetml/2006/main" xmlns:r="http://schemas.openxmlformats.org/officeDocument/2006/relationships" xmlns:xdr="http://schemas.openxmlformats.org/drawingml/2006/spreadsheetDrawing" count="252" uniqueCount="50">
  <si>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</si>
  <si>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</si>
  <si>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</si>
  <si>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</si>
  <si>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</si>
  <si>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</si>
  <si>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</si>
  <si>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</si>
  <si>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</si>
  <si>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</si>
  <si>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</si>
  <si>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</si>
  <si>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</si>
  <si>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</si>
  <si>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</si>
  <si>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</si>
  <si>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</si>
  <si>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</si>
  <si>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</si>
  <si>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</si>
  <si>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</si>
  <si>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</si>
  <si>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</si>
  <si>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</si>
  <si>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</si>
  <si>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</si>
  <si>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</si>
  <si>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</si>
  <si>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Demand elasticity of solar photovoltaics</t>
  </si>
  <si>
    <t>Click on "Supplemental information" and Download "Document S2. Article plus supplemental information" to get the version with Table S20</t>
  </si>
  <si>
    <t>Table S20 Column 1 Rows 1-2 , p.97</t>
  </si>
  <si>
    <t>Flip sign on LBD effect</t>
  </si>
  <si>
    <t xml:space="preserve">Multiply by -1 </t>
  </si>
  <si>
    <t>Estimated markup</t>
  </si>
  <si>
    <t>WAY ET AL. DATA FOR SOLAR LBD:</t>
  </si>
  <si>
    <t>markup</t>
  </si>
  <si>
    <t>HUGHES DATA FOR DEMAND ELAS.</t>
  </si>
  <si>
    <t>https://www.journals.uchicago.edu/doi/full/10.1086/681131</t>
  </si>
  <si>
    <t>Total daily PV instillations per day on rebate rate ($/W)</t>
  </si>
  <si>
    <t>Table 8 Column 6 Row 1 p. 264</t>
  </si>
  <si>
    <t>Get t-stat on percent change</t>
  </si>
  <si>
    <t>assume no other noise so that corresponds to t-stat on coef on rebate rate</t>
  </si>
  <si>
    <t>DORSEY DATA FOR DEMAND ELAS. AND MARKUP</t>
  </si>
  <si>
    <t>Table A.7 Row 2 Subrow 1 , p. A.8</t>
  </si>
  <si>
    <t>Table 2 Panel A Column 5 Row 1, p. 54</t>
  </si>
  <si>
    <t>https://www.jacksonfdorsey.com/_files/ugd/f863ae_3504bbd223594779a5f327a9b7fbfac3.pdf</t>
  </si>
  <si>
    <t xml:space="preserve"> daily PV instillations per day on rebate rate ($/W), near boundary </t>
  </si>
  <si>
    <t>Table 4 Column 3 Row 1 p. 257</t>
  </si>
  <si>
    <t>semie_est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</si>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</sst>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metadata.xml" Type="http://schemas.openxmlformats.org/officeDocument/2006/relationships/sheetMetadata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journals.uchicago.edu/doi/full/10.1086/681131" Type="http://schemas.openxmlformats.org/officeDocument/2006/relationships/hyperlink" Id="rId2"/><Relationship TargetMode="External" Target="https://www.jacksonfdorsey.com/_files/ugd/f863ae_3504bbd223594779a5f327a9b7fbfac3.pdf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true" workbookViewId="0">
      <selection activeCell="F9" sqref="F9"/>
    </sheetView>
  </sheetViews>
  <sheetFormatPr xmlns:x14ac="http://schemas.microsoft.com/office/spreadsheetml/2009/9/ac" baseColWidth="10" defaultColWidth="8.83203125" defaultRowHeight="15" x14ac:dyDescent="0.2"/>
  <sheetData>
    <row xmlns:x14ac="http://schemas.microsoft.com/office/spreadsheetml/2009/9/ac" r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">
      <c r="A2" t="s">
        <v>48</v>
      </c>
      <c r="B2" cm="1">
        <f t="array" ref="B2:C2">raw_data!B3:C3</f>
        <v>0.96299999999999997</v>
      </c>
      <c r="C2">
        <v>0.42599999999999999</v>
      </c>
      <c r="H2">
        <v>1</v>
      </c>
      <c r="I2">
        <v>1</v>
      </c>
      <c r="L2">
        <v>1</v>
      </c>
    </row>
    <row xmlns:x14ac="http://schemas.microsoft.com/office/spreadsheetml/2009/9/ac" r="3" x14ac:dyDescent="0.2">
      <c r="A3" t="s">
        <v>12</v>
      </c>
      <c r="B3">
        <f>calculations!C2</f>
        <v>-0.31900000000000001</v>
      </c>
      <c r="C3">
        <f>raw_data!C14</f>
        <v>4.2999999999999997E-2</v>
      </c>
      <c r="L3">
        <v>3</v>
      </c>
    </row>
    <row xmlns:x14ac="http://schemas.microsoft.com/office/spreadsheetml/2009/9/ac" r="4" x14ac:dyDescent="0.2">
      <c r="A4" t="s">
        <v>35</v>
      </c>
      <c r="B4">
        <f>raw_data!B26</f>
        <v>0.46</v>
      </c>
      <c r="C4">
        <f>raw_data!C26</f>
        <v>0.09</v>
      </c>
      <c r="H4">
        <v>1</v>
      </c>
      <c r="I4">
        <v>1</v>
      </c>
      <c r="L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workbookViewId="0">
      <selection activeCell="D3" sqref="D3"/>
    </sheetView>
  </sheetViews>
  <sheetFormatPr xmlns:x14ac="http://schemas.microsoft.com/office/spreadsheetml/2009/9/ac" baseColWidth="10" defaultColWidth="8.6640625" defaultRowHeight="15" x14ac:dyDescent="0.2"/>
  <cols>
    <col min="1" max="1" width="27.6640625" style="2" customWidth="true"/>
    <col min="2" max="2" width="9.83203125" style="2" bestFit="true" customWidth="true"/>
    <col min="3" max="7" width="8.6640625" style="2"/>
    <col min="8" max="8" width="12" style="2" customWidth="true"/>
    <col min="9" max="9" width="8.6640625" style="2"/>
    <col min="10" max="10" width="9.1640625" customWidth="true"/>
    <col min="11" max="16384" width="8.6640625" style="2"/>
  </cols>
  <sheetData>
    <row xmlns:x14ac="http://schemas.microsoft.com/office/spreadsheetml/2009/9/ac" r="1" ht="32" x14ac:dyDescent="0.2">
      <c r="A1" s="3" t="s">
        <v>36</v>
      </c>
      <c r="B1" s="10"/>
      <c r="C1" s="10"/>
      <c r="D1" s="10"/>
      <c r="E1" s="2" t="s">
        <v>49</v>
      </c>
      <c r="F1" s="2" t="s">
        <v>49</v>
      </c>
      <c r="G1" s="2" t="s">
        <v>49</v>
      </c>
      <c r="H1" s="10"/>
      <c r="I1" s="10"/>
      <c r="J1" t="s">
        <v>49</v>
      </c>
    </row>
    <row xmlns:x14ac="http://schemas.microsoft.com/office/spreadsheetml/2009/9/ac" r="2" ht="32" x14ac:dyDescent="0.2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13</v>
      </c>
    </row>
    <row xmlns:x14ac="http://schemas.microsoft.com/office/spreadsheetml/2009/9/ac" r="3" ht="32" x14ac:dyDescent="0.2">
      <c r="A3" s="2" t="s">
        <v>46</v>
      </c>
      <c r="B3" s="10">
        <v>0.82779490947723389</v>
      </c>
      <c r="C3" s="10">
        <v>0.42599999999999999</v>
      </c>
      <c r="D3" s="10"/>
      <c r="E3" s="2" t="s">
        <v>49</v>
      </c>
      <c r="F3" s="2" t="s">
        <v>49</v>
      </c>
      <c r="G3" s="2" t="s">
        <v>49</v>
      </c>
      <c r="H3" s="10">
        <v>1</v>
      </c>
      <c r="I3" s="10">
        <v>1</v>
      </c>
      <c r="J3" t="s">
        <v>47</v>
      </c>
    </row>
    <row xmlns:x14ac="http://schemas.microsoft.com/office/spreadsheetml/2009/9/ac" r="4" ht="32" x14ac:dyDescent="0.2">
      <c r="A4" s="2" t="s">
        <v>38</v>
      </c>
      <c r="B4" s="10">
        <v>1.0080000162124634</v>
      </c>
      <c r="C4" s="10">
        <v>0.111</v>
      </c>
      <c r="D4" s="10"/>
      <c r="E4" s="2" t="s">
        <v>49</v>
      </c>
      <c r="F4" s="2" t="s">
        <v>49</v>
      </c>
      <c r="G4" s="2" t="s">
        <v>49</v>
      </c>
      <c r="H4" s="10">
        <v>1</v>
      </c>
      <c r="I4" s="10">
        <v>1</v>
      </c>
      <c r="J4" t="s">
        <v>39</v>
      </c>
    </row>
    <row r="5">
      <c r="A5" s="2" t="s">
        <v>49</v>
      </c>
      <c r="B5" s="10"/>
      <c r="C5" s="10"/>
      <c r="D5" s="10"/>
      <c r="E5" s="2" t="s">
        <v>49</v>
      </c>
      <c r="F5" s="2" t="s">
        <v>49</v>
      </c>
      <c r="G5" s="2" t="s">
        <v>49</v>
      </c>
      <c r="H5" s="10"/>
      <c r="I5" s="10"/>
      <c r="J5" t="s">
        <v>49</v>
      </c>
    </row>
    <row r="6">
      <c r="A6" s="2" t="s">
        <v>49</v>
      </c>
      <c r="B6" s="10"/>
      <c r="C6" s="10"/>
      <c r="D6" s="10"/>
      <c r="E6" s="2" t="s">
        <v>49</v>
      </c>
      <c r="F6" s="2" t="s">
        <v>49</v>
      </c>
      <c r="G6" s="2" t="s">
        <v>49</v>
      </c>
      <c r="H6" s="10"/>
      <c r="I6" s="10"/>
      <c r="J6" t="s">
        <v>49</v>
      </c>
    </row>
    <row xmlns:x14ac="http://schemas.microsoft.com/office/spreadsheetml/2009/9/ac" r="7" ht="16" x14ac:dyDescent="0.2">
      <c r="A7" s="4" t="s">
        <v>23</v>
      </c>
      <c r="B7" s="10"/>
      <c r="C7" s="10"/>
      <c r="D7" s="10"/>
      <c r="E7" s="5" t="s">
        <v>49</v>
      </c>
      <c r="F7" s="2" t="s">
        <v>49</v>
      </c>
      <c r="G7" s="2" t="s">
        <v>49</v>
      </c>
      <c r="H7" s="10"/>
      <c r="I7" s="10"/>
      <c r="J7" t="s">
        <v>49</v>
      </c>
    </row>
    <row xmlns:x14ac="http://schemas.microsoft.com/office/spreadsheetml/2009/9/ac" r="8" ht="16" x14ac:dyDescent="0.2">
      <c r="A8" s="5" t="s">
        <v>16</v>
      </c>
      <c r="B8" s="10"/>
      <c r="C8" s="10"/>
      <c r="D8" s="10"/>
      <c r="E8" s="5" t="s">
        <v>49</v>
      </c>
      <c r="F8" s="2" t="s">
        <v>49</v>
      </c>
      <c r="G8" s="2" t="s">
        <v>49</v>
      </c>
      <c r="H8" s="10"/>
      <c r="I8" s="10"/>
      <c r="J8" t="s">
        <v>49</v>
      </c>
    </row>
    <row xmlns:x14ac="http://schemas.microsoft.com/office/spreadsheetml/2009/9/ac" r="9" ht="16" x14ac:dyDescent="0.2">
      <c r="A9" s="5" t="s">
        <v>17</v>
      </c>
      <c r="B9" s="10"/>
      <c r="C9" s="10"/>
      <c r="D9" s="10"/>
      <c r="E9" s="5" t="s">
        <v>49</v>
      </c>
      <c r="F9" s="2" t="s">
        <v>49</v>
      </c>
      <c r="G9" s="2" t="s">
        <v>49</v>
      </c>
      <c r="H9" s="10"/>
      <c r="I9" s="10"/>
      <c r="J9" t="s">
        <v>49</v>
      </c>
    </row>
    <row xmlns:x14ac="http://schemas.microsoft.com/office/spreadsheetml/2009/9/ac" r="10" ht="16" x14ac:dyDescent="0.2">
      <c r="A10" s="5" t="s">
        <v>19</v>
      </c>
      <c r="B10" s="10"/>
      <c r="C10" s="10"/>
      <c r="D10" s="10"/>
      <c r="E10" s="5" t="s">
        <v>49</v>
      </c>
      <c r="F10" s="2" t="s">
        <v>49</v>
      </c>
      <c r="G10" s="2" t="s">
        <v>49</v>
      </c>
      <c r="H10" s="10"/>
      <c r="I10" s="10"/>
      <c r="J10" t="s">
        <v>49</v>
      </c>
    </row>
    <row xmlns:x14ac="http://schemas.microsoft.com/office/spreadsheetml/2009/9/ac" r="11" ht="16" x14ac:dyDescent="0.2">
      <c r="A11" s="5" t="s">
        <v>21</v>
      </c>
      <c r="B11" s="10"/>
      <c r="C11" s="10"/>
      <c r="D11" s="10"/>
      <c r="E11" s="2" t="s">
        <v>49</v>
      </c>
      <c r="F11" s="2" t="s">
        <v>49</v>
      </c>
      <c r="G11" s="2" t="s">
        <v>49</v>
      </c>
      <c r="H11" s="10"/>
      <c r="I11" s="10"/>
      <c r="J11" t="s">
        <v>49</v>
      </c>
    </row>
    <row xmlns:x14ac="http://schemas.microsoft.com/office/spreadsheetml/2009/9/ac" r="12" ht="16" x14ac:dyDescent="0.2">
      <c r="A12" s="3" t="s">
        <v>34</v>
      </c>
      <c r="B12" s="10"/>
      <c r="C12" s="10"/>
      <c r="D12" s="10"/>
      <c r="E12" s="2" t="s">
        <v>49</v>
      </c>
      <c r="F12" s="2" t="s">
        <v>49</v>
      </c>
      <c r="G12" s="2" t="s">
        <v>49</v>
      </c>
      <c r="H12" s="10"/>
      <c r="I12" s="10"/>
      <c r="J12" t="s">
        <v>49</v>
      </c>
    </row>
    <row xmlns:x14ac="http://schemas.microsoft.com/office/spreadsheetml/2009/9/ac" r="13" ht="32" x14ac:dyDescent="0.2">
      <c r="A13" s="1" t="s">
        <v>0</v>
      </c>
      <c r="B13" s="10"/>
      <c r="C13" s="10"/>
      <c r="D13" s="10"/>
      <c r="E13" s="1" t="s">
        <v>4</v>
      </c>
      <c r="F13" s="1" t="s">
        <v>5</v>
      </c>
      <c r="G13" s="1" t="s">
        <v>6</v>
      </c>
      <c r="H13" s="10"/>
      <c r="I13" s="10"/>
      <c r="J13" s="8" t="s">
        <v>13</v>
      </c>
    </row>
    <row xmlns:x14ac="http://schemas.microsoft.com/office/spreadsheetml/2009/9/ac" r="14" ht="16" x14ac:dyDescent="0.2">
      <c r="A14" s="2" t="s">
        <v>20</v>
      </c>
      <c r="B14" s="10">
        <v>0.3190000057220459</v>
      </c>
      <c r="C14" s="10">
        <v>0.042999999999999997</v>
      </c>
      <c r="D14" s="10"/>
      <c r="E14" s="2" t="s">
        <v>49</v>
      </c>
      <c r="F14" s="2" t="s">
        <v>49</v>
      </c>
      <c r="G14" s="2" t="s">
        <v>49</v>
      </c>
      <c r="H14" s="10">
        <v>1</v>
      </c>
      <c r="I14" s="10">
        <v>1</v>
      </c>
      <c r="J14" t="s">
        <v>30</v>
      </c>
    </row>
    <row r="15">
      <c r="A15" s="2" t="s">
        <v>49</v>
      </c>
      <c r="B15" s="10"/>
      <c r="C15" s="10"/>
      <c r="D15" s="10"/>
      <c r="E15" s="2" t="s">
        <v>49</v>
      </c>
      <c r="F15" s="2" t="s">
        <v>49</v>
      </c>
      <c r="G15" s="2" t="s">
        <v>49</v>
      </c>
      <c r="H15" s="10"/>
      <c r="I15" s="10"/>
      <c r="J15" t="s">
        <v>49</v>
      </c>
    </row>
    <row xmlns:x14ac="http://schemas.microsoft.com/office/spreadsheetml/2009/9/ac" r="16" ht="16" x14ac:dyDescent="0.2">
      <c r="A16" s="4" t="s">
        <v>24</v>
      </c>
      <c r="B16" s="10"/>
      <c r="C16" s="10"/>
      <c r="D16" s="10"/>
      <c r="E16" s="2" t="s">
        <v>49</v>
      </c>
      <c r="F16" s="2" t="s">
        <v>49</v>
      </c>
      <c r="G16" s="2" t="s">
        <v>49</v>
      </c>
      <c r="H16" s="10"/>
      <c r="I16" s="10"/>
      <c r="J16" t="s">
        <v>49</v>
      </c>
    </row>
    <row xmlns:x14ac="http://schemas.microsoft.com/office/spreadsheetml/2009/9/ac" r="17" ht="16" x14ac:dyDescent="0.2">
      <c r="A17" s="5" t="s">
        <v>16</v>
      </c>
      <c r="B17" s="10"/>
      <c r="C17" s="10"/>
      <c r="D17" s="10"/>
      <c r="E17" s="2" t="s">
        <v>49</v>
      </c>
      <c r="F17" s="2" t="s">
        <v>49</v>
      </c>
      <c r="G17" s="2" t="s">
        <v>49</v>
      </c>
      <c r="H17" s="10"/>
      <c r="I17" s="10"/>
      <c r="J17" t="s">
        <v>49</v>
      </c>
    </row>
    <row xmlns:x14ac="http://schemas.microsoft.com/office/spreadsheetml/2009/9/ac" r="18" ht="16" x14ac:dyDescent="0.2">
      <c r="A18" s="5" t="s">
        <v>17</v>
      </c>
      <c r="B18" s="10"/>
      <c r="C18" s="10"/>
      <c r="D18" s="10"/>
      <c r="E18" s="2" t="s">
        <v>49</v>
      </c>
      <c r="F18" s="2" t="s">
        <v>49</v>
      </c>
      <c r="G18" s="2" t="s">
        <v>49</v>
      </c>
      <c r="H18" s="10"/>
      <c r="I18" s="10"/>
      <c r="J18" t="s">
        <v>49</v>
      </c>
    </row>
    <row xmlns:x14ac="http://schemas.microsoft.com/office/spreadsheetml/2009/9/ac" r="19" ht="16" x14ac:dyDescent="0.2">
      <c r="A19" s="5" t="s">
        <v>19</v>
      </c>
      <c r="B19" s="10"/>
      <c r="C19" s="10"/>
      <c r="D19" s="10"/>
      <c r="E19" s="2" t="s">
        <v>49</v>
      </c>
      <c r="F19" s="2" t="s">
        <v>49</v>
      </c>
      <c r="G19" s="2" t="s">
        <v>49</v>
      </c>
      <c r="H19" s="10"/>
      <c r="I19" s="10"/>
      <c r="J19" t="s">
        <v>49</v>
      </c>
    </row>
    <row xmlns:x14ac="http://schemas.microsoft.com/office/spreadsheetml/2009/9/ac" r="20" ht="16" x14ac:dyDescent="0.2">
      <c r="A20" s="5" t="s">
        <v>21</v>
      </c>
      <c r="B20" s="10"/>
      <c r="C20" s="10"/>
      <c r="D20" s="10"/>
      <c r="E20" s="2" t="s">
        <v>49</v>
      </c>
      <c r="F20" s="2" t="s">
        <v>49</v>
      </c>
      <c r="G20" s="2" t="s">
        <v>49</v>
      </c>
      <c r="H20" s="10"/>
      <c r="I20" s="10"/>
      <c r="J20" t="s">
        <v>49</v>
      </c>
    </row>
    <row r="21">
      <c r="A21" s="2" t="s">
        <v>49</v>
      </c>
      <c r="B21" s="10"/>
      <c r="C21" s="10"/>
      <c r="D21" s="10"/>
      <c r="E21" s="2" t="s">
        <v>49</v>
      </c>
      <c r="F21" s="2" t="s">
        <v>49</v>
      </c>
      <c r="G21" s="2" t="s">
        <v>49</v>
      </c>
      <c r="H21" s="10"/>
      <c r="I21" s="10"/>
      <c r="J21" t="s">
        <v>49</v>
      </c>
    </row>
    <row xmlns:x14ac="http://schemas.microsoft.com/office/spreadsheetml/2009/9/ac" r="22" x14ac:dyDescent="0.2">
      <c r="A22" s="3" t="s">
        <v>49</v>
      </c>
      <c r="B22" s="10"/>
      <c r="C22" s="10"/>
      <c r="D22" s="10"/>
      <c r="E22" s="2" t="s">
        <v>49</v>
      </c>
      <c r="F22" s="2" t="s">
        <v>49</v>
      </c>
      <c r="G22" s="2" t="s">
        <v>49</v>
      </c>
      <c r="H22" s="10"/>
      <c r="I22" s="10"/>
      <c r="J22" t="s">
        <v>49</v>
      </c>
    </row>
    <row xmlns:x14ac="http://schemas.microsoft.com/office/spreadsheetml/2009/9/ac" r="23" ht="32" x14ac:dyDescent="0.2">
      <c r="A23" s="3" t="s">
        <v>42</v>
      </c>
      <c r="B23" s="10"/>
      <c r="C23" s="10"/>
      <c r="D23" s="10"/>
      <c r="E23" s="2" t="s">
        <v>49</v>
      </c>
      <c r="F23" s="2" t="s">
        <v>49</v>
      </c>
      <c r="G23" s="2" t="s">
        <v>49</v>
      </c>
      <c r="H23" s="10"/>
      <c r="I23" s="10"/>
      <c r="J23" t="s">
        <v>49</v>
      </c>
    </row>
    <row xmlns:x14ac="http://schemas.microsoft.com/office/spreadsheetml/2009/9/ac" r="24" ht="32" x14ac:dyDescent="0.2">
      <c r="A24" s="1" t="s">
        <v>0</v>
      </c>
      <c r="B24" s="10"/>
      <c r="C24" s="10"/>
      <c r="D24" s="10"/>
      <c r="E24" s="1" t="s">
        <v>4</v>
      </c>
      <c r="F24" s="1" t="s">
        <v>5</v>
      </c>
      <c r="G24" s="1" t="s">
        <v>6</v>
      </c>
      <c r="H24" s="10"/>
      <c r="I24" s="10"/>
      <c r="J24" s="8" t="s">
        <v>13</v>
      </c>
    </row>
    <row xmlns:x14ac="http://schemas.microsoft.com/office/spreadsheetml/2009/9/ac" r="25" ht="32" x14ac:dyDescent="0.2">
      <c r="A25" s="2" t="s">
        <v>28</v>
      </c>
      <c r="B25" s="10">
        <v>-1.5900000000000001</v>
      </c>
      <c r="C25" s="10"/>
      <c r="D25" s="10"/>
      <c r="E25" s="2" t="s">
        <v>49</v>
      </c>
      <c r="F25" s="2" t="s">
        <v>49</v>
      </c>
      <c r="G25" s="2" t="s">
        <v>49</v>
      </c>
      <c r="H25" s="10">
        <v>0</v>
      </c>
      <c r="I25" s="10">
        <v>1</v>
      </c>
      <c r="J25" t="s">
        <v>43</v>
      </c>
    </row>
    <row xmlns:x14ac="http://schemas.microsoft.com/office/spreadsheetml/2009/9/ac" r="26" ht="16" x14ac:dyDescent="0.2">
      <c r="A26" s="2" t="s">
        <v>33</v>
      </c>
      <c r="B26" s="10">
        <v>0.46000000000000002</v>
      </c>
      <c r="C26" s="10">
        <v>0.089999999999999997</v>
      </c>
      <c r="D26" s="10"/>
      <c r="E26" s="2" t="s">
        <v>49</v>
      </c>
      <c r="F26" s="2" t="s">
        <v>49</v>
      </c>
      <c r="G26" s="2" t="s">
        <v>49</v>
      </c>
      <c r="H26" s="10">
        <v>0</v>
      </c>
      <c r="I26" s="10">
        <v>1</v>
      </c>
      <c r="J26" t="s">
        <v>44</v>
      </c>
    </row>
    <row r="27">
      <c r="A27" s="2" t="s">
        <v>49</v>
      </c>
      <c r="B27" s="10"/>
      <c r="C27" s="10"/>
      <c r="D27" s="10"/>
      <c r="E27" s="2" t="s">
        <v>49</v>
      </c>
      <c r="F27" s="2" t="s">
        <v>49</v>
      </c>
      <c r="G27" s="2" t="s">
        <v>49</v>
      </c>
      <c r="H27" s="10"/>
      <c r="I27" s="10"/>
      <c r="J27" t="s">
        <v>49</v>
      </c>
    </row>
    <row r="28">
      <c r="A28" s="2" t="s">
        <v>49</v>
      </c>
      <c r="B28" s="10"/>
      <c r="C28" s="10"/>
      <c r="D28" s="10"/>
      <c r="E28" s="2" t="s">
        <v>49</v>
      </c>
      <c r="F28" s="2" t="s">
        <v>49</v>
      </c>
      <c r="G28" s="2" t="s">
        <v>49</v>
      </c>
      <c r="H28" s="10"/>
      <c r="I28" s="10"/>
      <c r="J28" t="s">
        <v>49</v>
      </c>
    </row>
    <row xmlns:x14ac="http://schemas.microsoft.com/office/spreadsheetml/2009/9/ac" r="29" ht="16" x14ac:dyDescent="0.2">
      <c r="A29" s="4" t="s">
        <v>23</v>
      </c>
      <c r="B29" s="10"/>
      <c r="C29" s="10"/>
      <c r="D29" s="10"/>
      <c r="E29" s="5" t="s">
        <v>49</v>
      </c>
      <c r="F29" s="2" t="s">
        <v>49</v>
      </c>
      <c r="G29" s="2" t="s">
        <v>49</v>
      </c>
      <c r="H29" s="10"/>
      <c r="I29" s="10"/>
      <c r="J29" t="s">
        <v>49</v>
      </c>
    </row>
    <row xmlns:x14ac="http://schemas.microsoft.com/office/spreadsheetml/2009/9/ac" r="30" ht="16" x14ac:dyDescent="0.2">
      <c r="A30" s="5" t="s">
        <v>16</v>
      </c>
      <c r="B30" s="10"/>
      <c r="C30" s="10"/>
      <c r="D30" s="10"/>
      <c r="E30" s="5" t="s">
        <v>49</v>
      </c>
      <c r="F30" s="2" t="s">
        <v>49</v>
      </c>
      <c r="G30" s="2" t="s">
        <v>49</v>
      </c>
      <c r="H30" s="10"/>
      <c r="I30" s="10"/>
      <c r="J30" t="s">
        <v>49</v>
      </c>
    </row>
    <row xmlns:x14ac="http://schemas.microsoft.com/office/spreadsheetml/2009/9/ac" r="31" ht="16" x14ac:dyDescent="0.2">
      <c r="A31" s="5" t="s">
        <v>17</v>
      </c>
      <c r="B31" s="10"/>
      <c r="C31" s="10"/>
      <c r="D31" s="10"/>
      <c r="E31" s="5" t="s">
        <v>49</v>
      </c>
      <c r="F31" s="2" t="s">
        <v>49</v>
      </c>
      <c r="G31" s="2" t="s">
        <v>49</v>
      </c>
      <c r="H31" s="10"/>
      <c r="I31" s="10"/>
      <c r="J31" t="s">
        <v>49</v>
      </c>
    </row>
    <row xmlns:x14ac="http://schemas.microsoft.com/office/spreadsheetml/2009/9/ac" r="32" ht="16" x14ac:dyDescent="0.2">
      <c r="A32" s="5" t="s">
        <v>19</v>
      </c>
      <c r="B32" s="10"/>
      <c r="C32" s="10"/>
      <c r="D32" s="10"/>
      <c r="E32" s="5" t="s">
        <v>49</v>
      </c>
      <c r="F32" s="2" t="s">
        <v>49</v>
      </c>
      <c r="G32" s="2" t="s">
        <v>49</v>
      </c>
      <c r="H32" s="10"/>
      <c r="I32" s="10"/>
      <c r="J32" t="s">
        <v>49</v>
      </c>
    </row>
    <row xmlns:x14ac="http://schemas.microsoft.com/office/spreadsheetml/2009/9/ac" r="33" ht="16" x14ac:dyDescent="0.2">
      <c r="A33" s="5" t="s">
        <v>21</v>
      </c>
      <c r="B33" s="10"/>
      <c r="C33" s="10"/>
      <c r="D33" s="10"/>
      <c r="E33" s="2" t="s">
        <v>49</v>
      </c>
      <c r="F33" s="2" t="s">
        <v>49</v>
      </c>
      <c r="G33" s="2" t="s">
        <v>49</v>
      </c>
      <c r="H33" s="10"/>
      <c r="I33" s="10"/>
      <c r="J33" t="s">
        <v>49</v>
      </c>
    </row>
  </sheetData>
  <hyperlinks>
    <hyperlink ref="B30" r:id="rId1"/>
    <hyperlink ref="B8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4" sqref="A4"/>
    </sheetView>
  </sheetViews>
  <sheetFormatPr xmlns:x14ac="http://schemas.microsoft.com/office/spreadsheetml/2009/9/ac" baseColWidth="10" defaultColWidth="8.6640625" defaultRowHeight="15" x14ac:dyDescent="0.2"/>
  <cols>
    <col min="1" max="1" width="24.5" style="1" customWidth="true"/>
    <col min="2" max="2" width="45.6640625" style="1" customWidth="true"/>
    <col min="3" max="3" width="10.83203125" style="1" customWidth="true"/>
    <col min="4" max="16384" width="8.6640625" style="2"/>
  </cols>
  <sheetData>
    <row xmlns:x14ac="http://schemas.microsoft.com/office/spreadsheetml/2009/9/ac" r="1" ht="16" x14ac:dyDescent="0.2">
      <c r="A1" s="1" t="s">
        <v>25</v>
      </c>
      <c r="B1" s="1" t="s">
        <v>26</v>
      </c>
      <c r="C1" s="1" t="s">
        <v>27</v>
      </c>
    </row>
    <row xmlns:x14ac="http://schemas.microsoft.com/office/spreadsheetml/2009/9/ac" r="2" ht="16" x14ac:dyDescent="0.2">
      <c r="A2" s="2" t="s">
        <v>31</v>
      </c>
      <c r="B2" s="2" t="s">
        <v>32</v>
      </c>
      <c r="C2" s="2">
        <f>-raw_data!B14</f>
        <v>-0.31900000000000001</v>
      </c>
    </row>
    <row xmlns:x14ac="http://schemas.microsoft.com/office/spreadsheetml/2009/9/ac" r="3" ht="32" x14ac:dyDescent="0.2">
      <c r="A3" s="2" t="s">
        <v>40</v>
      </c>
      <c r="B3" s="2" t="s">
        <v>41</v>
      </c>
      <c r="C3" s="2">
        <f>raw_data!B4/raw_data!C4</f>
        <v>9.0810810810810807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Kelly</cp:lastModifiedBy>
  <dcterms:created xsi:type="dcterms:W3CDTF">2024-04-27T19:50:22Z</dcterms:created>
  <dcterms:modified xsi:type="dcterms:W3CDTF">2024-07-14T05:54:26Z</dcterms:modified>
</cp:coreProperties>
</file>