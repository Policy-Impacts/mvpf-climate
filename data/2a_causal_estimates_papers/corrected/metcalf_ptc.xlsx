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54871533-6444-4A9E-8543-684B0936FBDA}" xr6:coauthVersionLast="47" xr6:coauthVersionMax="47" xr10:uidLastSave="{00000000-0000-0000-0000-000000000000}"/>
  <bookViews>
    <workbookView xWindow="735" yWindow="735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<sst xmlns="http://schemas.openxmlformats.org/spreadsheetml/2006/main" xmlns:r="http://schemas.openxmlformats.org/officeDocument/2006/relationships" xmlns:xdr="http://schemas.openxmlformats.org/drawingml/2006/spreadsheetDrawing" count="168" uniqueCount="47">
  <si>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</si>
  <si>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</si>
  <si>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</si>
  <si>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</si>
  <si>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</si>
  <si>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</si>
  <si>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</si>
  <si>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</si>
  <si>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</si>
  <si>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</si>
  <si>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</si>
  <si>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</si>
  <si>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farmer_theta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</si>
  <si>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</si>
  <si>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</si>
  <si>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</si>
  <si>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</si>
  <si>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</si>
  <si>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</si>
  <si>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</si>
  <si>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HITAJ DATA FOR WIND ELASTICITY:</t>
  </si>
  <si>
    <t>WAY ET AL. DATA FOR WIND LBD:</t>
  </si>
  <si>
    <t>Experience exponent</t>
  </si>
  <si>
    <t>Notes:</t>
  </si>
  <si>
    <t>https://www.sciencedirect.com/science/article/pii/S254243512200410X#appsec2</t>
  </si>
  <si>
    <t>Click on "Supplemental information" and Download "Document S2. Article plus supplemental information" to get the version with Table S19</t>
  </si>
  <si>
    <t xml:space="preserve">Source Info </t>
  </si>
  <si>
    <t>Source Info</t>
  </si>
  <si>
    <t>Table S19 Column 1 Rows 1-2 , p.95</t>
  </si>
  <si>
    <t>Calculation</t>
  </si>
  <si>
    <t>Description</t>
  </si>
  <si>
    <t xml:space="preserve">Value </t>
  </si>
  <si>
    <t>Get wind elasticity</t>
  </si>
  <si>
    <t>Get wind learning by doing elasticity</t>
  </si>
  <si>
    <t xml:space="preserve">Multiply estimate by -1 (Way et al. present the absolute value of their estimate) </t>
  </si>
  <si>
    <t>Get wind learning by doing elasticity SE</t>
  </si>
  <si>
    <t>No changes</t>
  </si>
  <si>
    <t>elas</t>
  </si>
  <si>
    <t>Elasticity of investment with respect to user cost of capital</t>
  </si>
  <si>
    <t>https://www.journals.uchicago.edu/doi/full/10.1086/649826</t>
  </si>
  <si>
    <t xml:space="preserve">Last sentence of last paragraph of text on p.27 </t>
  </si>
  <si>
    <t>Tobit Coefficient: Effect of unit increase on user cost of capital  on Capacity</t>
  </si>
  <si>
    <t>Table 2 Column 2 Rows 2-3</t>
  </si>
  <si>
    <t xml:space="preserve">No changes </t>
  </si>
  <si>
    <t>Get wind elasticity t-stat</t>
  </si>
  <si>
    <t>Assume LHS and RHS noiseless and ignore any nonlinearities in APE function such that the t-stat is unchanged from the regression coef to the elasticities. Therefore, divide regression coef by SE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</si>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</sst>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2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</cellStyleXfs>
  <cellXfs count="10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" fontId="0" fillId="0" borderId="10" xfId="0" applyNumberFormat="true"/>
  </cellXfs>
  <cellStyles count="42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K11" sqref="K11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37</v>
      </c>
      <c r="B2">
        <f>calculations!C2</f>
        <v>-1.3</v>
      </c>
      <c r="D2">
        <f>calculations!C3</f>
        <v>-3.4173354735152488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12</v>
      </c>
      <c r="B3">
        <f>calculations!C4</f>
        <v>-0.19400000000000001</v>
      </c>
      <c r="C3">
        <f>calculations!C5</f>
        <v>4.1000000000000002E-2</v>
      </c>
      <c r="L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abSelected="true" workbookViewId="0">
      <selection activeCell="K9" sqref="K9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8.7109375" style="2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20</v>
      </c>
      <c r="B1" s="9"/>
      <c r="C1" s="9"/>
      <c r="D1" s="9"/>
      <c r="E1" s="2" t="s">
        <v>46</v>
      </c>
      <c r="F1" s="2" t="s">
        <v>46</v>
      </c>
      <c r="G1" s="2" t="s">
        <v>46</v>
      </c>
      <c r="H1" s="9"/>
      <c r="I1" s="9"/>
      <c r="J1" t="s">
        <v>46</v>
      </c>
    </row>
    <row xmlns:x14ac="http://schemas.microsoft.com/office/spreadsheetml/2009/9/ac" r="2" ht="30" x14ac:dyDescent="0.25">
      <c r="A2" s="1" t="s">
        <v>0</v>
      </c>
      <c r="B2" s="9"/>
      <c r="C2" s="9"/>
      <c r="D2" s="9"/>
      <c r="E2" s="1" t="s">
        <v>4</v>
      </c>
      <c r="F2" s="1" t="s">
        <v>5</v>
      </c>
      <c r="G2" s="1" t="s">
        <v>6</v>
      </c>
      <c r="H2" s="9"/>
      <c r="I2" s="9"/>
      <c r="J2" s="8" t="s">
        <v>13</v>
      </c>
    </row>
    <row xmlns:x14ac="http://schemas.microsoft.com/office/spreadsheetml/2009/9/ac" r="3" ht="30" x14ac:dyDescent="0.25">
      <c r="A3" s="2" t="s">
        <v>38</v>
      </c>
      <c r="B3" s="9">
        <v>-1.3</v>
      </c>
      <c r="C3" s="9"/>
      <c r="D3" s="9"/>
      <c r="E3" s="2" t="s">
        <v>46</v>
      </c>
      <c r="F3" s="2" t="s">
        <v>46</v>
      </c>
      <c r="G3" s="2" t="s">
        <v>46</v>
      </c>
      <c r="H3" s="9">
        <v>0</v>
      </c>
      <c r="I3" s="9"/>
      <c r="J3" t="s">
        <v>40</v>
      </c>
    </row>
    <row xmlns:x14ac="http://schemas.microsoft.com/office/spreadsheetml/2009/9/ac" r="4" ht="45" x14ac:dyDescent="0.25">
      <c r="A4" s="2" t="s">
        <v>41</v>
      </c>
      <c r="B4" s="9">
        <v>-1044.2294921875</v>
      </c>
      <c r="C4" s="9">
        <v>311.5</v>
      </c>
      <c r="D4" s="9"/>
      <c r="E4" s="2" t="s">
        <v>46</v>
      </c>
      <c r="F4" s="2" t="s">
        <v>46</v>
      </c>
      <c r="G4" s="2" t="s">
        <v>46</v>
      </c>
      <c r="H4" s="9">
        <v>1</v>
      </c>
      <c r="I4" s="9">
        <v>1</v>
      </c>
      <c r="J4" t="s">
        <v>42</v>
      </c>
    </row>
    <row r="5">
      <c r="A5" s="2" t="s">
        <v>46</v>
      </c>
      <c r="B5" s="9"/>
      <c r="C5" s="9"/>
      <c r="D5" s="9"/>
      <c r="E5" s="2" t="s">
        <v>46</v>
      </c>
      <c r="F5" s="2" t="s">
        <v>46</v>
      </c>
      <c r="G5" s="2" t="s">
        <v>46</v>
      </c>
      <c r="H5" s="9"/>
      <c r="I5" s="9"/>
      <c r="J5" t="s">
        <v>46</v>
      </c>
    </row>
    <row r="6">
      <c r="A6" s="2" t="s">
        <v>46</v>
      </c>
      <c r="B6" s="9"/>
      <c r="C6" s="9"/>
      <c r="D6" s="9"/>
      <c r="E6" s="2" t="s">
        <v>46</v>
      </c>
      <c r="F6" s="2" t="s">
        <v>46</v>
      </c>
      <c r="G6" s="2" t="s">
        <v>46</v>
      </c>
      <c r="H6" s="9"/>
      <c r="I6" s="9"/>
      <c r="J6" t="s">
        <v>46</v>
      </c>
    </row>
    <row xmlns:x14ac="http://schemas.microsoft.com/office/spreadsheetml/2009/9/ac" r="7" x14ac:dyDescent="0.25">
      <c r="A7" s="4" t="s">
        <v>26</v>
      </c>
      <c r="B7" s="9"/>
      <c r="C7" s="9"/>
      <c r="D7" s="9"/>
      <c r="E7" s="5" t="s">
        <v>46</v>
      </c>
      <c r="F7" s="2" t="s">
        <v>46</v>
      </c>
      <c r="G7" s="2" t="s">
        <v>46</v>
      </c>
      <c r="H7" s="9"/>
      <c r="I7" s="9"/>
      <c r="J7" t="s">
        <v>46</v>
      </c>
    </row>
    <row xmlns:x14ac="http://schemas.microsoft.com/office/spreadsheetml/2009/9/ac" r="8" x14ac:dyDescent="0.25">
      <c r="A8" s="5" t="s">
        <v>16</v>
      </c>
      <c r="B8" s="9"/>
      <c r="C8" s="9"/>
      <c r="D8" s="9"/>
      <c r="E8" s="5" t="s">
        <v>46</v>
      </c>
      <c r="F8" s="2" t="s">
        <v>46</v>
      </c>
      <c r="G8" s="2" t="s">
        <v>46</v>
      </c>
      <c r="H8" s="9"/>
      <c r="I8" s="9"/>
      <c r="J8" t="s">
        <v>46</v>
      </c>
    </row>
    <row xmlns:x14ac="http://schemas.microsoft.com/office/spreadsheetml/2009/9/ac" r="9" x14ac:dyDescent="0.25">
      <c r="A9" s="5" t="s">
        <v>17</v>
      </c>
      <c r="B9" s="9"/>
      <c r="C9" s="9"/>
      <c r="D9" s="9"/>
      <c r="E9" s="5" t="s">
        <v>46</v>
      </c>
      <c r="F9" s="2" t="s">
        <v>46</v>
      </c>
      <c r="G9" s="2" t="s">
        <v>46</v>
      </c>
      <c r="H9" s="9"/>
      <c r="I9" s="9"/>
      <c r="J9" t="s">
        <v>46</v>
      </c>
    </row>
    <row xmlns:x14ac="http://schemas.microsoft.com/office/spreadsheetml/2009/9/ac" r="10" x14ac:dyDescent="0.25">
      <c r="A10" s="5" t="s">
        <v>19</v>
      </c>
      <c r="B10" s="9"/>
      <c r="C10" s="9"/>
      <c r="D10" s="9"/>
      <c r="E10" s="5" t="s">
        <v>46</v>
      </c>
      <c r="F10" s="2" t="s">
        <v>46</v>
      </c>
      <c r="G10" s="2" t="s">
        <v>46</v>
      </c>
      <c r="H10" s="9"/>
      <c r="I10" s="9"/>
      <c r="J10" t="s">
        <v>46</v>
      </c>
    </row>
    <row xmlns:x14ac="http://schemas.microsoft.com/office/spreadsheetml/2009/9/ac" r="11" x14ac:dyDescent="0.25">
      <c r="A11" s="5" t="s">
        <v>23</v>
      </c>
      <c r="B11" s="9"/>
      <c r="C11" s="9"/>
      <c r="D11" s="9"/>
      <c r="E11" s="2" t="s">
        <v>46</v>
      </c>
      <c r="F11" s="2" t="s">
        <v>46</v>
      </c>
      <c r="G11" s="2" t="s">
        <v>46</v>
      </c>
      <c r="H11" s="9"/>
      <c r="I11" s="9"/>
      <c r="J11" t="s">
        <v>46</v>
      </c>
    </row>
    <row xmlns:x14ac="http://schemas.microsoft.com/office/spreadsheetml/2009/9/ac" r="12" ht="30" x14ac:dyDescent="0.25">
      <c r="A12" s="3" t="s">
        <v>21</v>
      </c>
      <c r="B12" s="9"/>
      <c r="C12" s="9"/>
      <c r="D12" s="9"/>
      <c r="E12" s="2" t="s">
        <v>46</v>
      </c>
      <c r="F12" s="2" t="s">
        <v>46</v>
      </c>
      <c r="G12" s="2" t="s">
        <v>46</v>
      </c>
      <c r="H12" s="9"/>
      <c r="I12" s="9"/>
      <c r="J12" t="s">
        <v>46</v>
      </c>
    </row>
    <row xmlns:x14ac="http://schemas.microsoft.com/office/spreadsheetml/2009/9/ac" r="13" ht="30" x14ac:dyDescent="0.25">
      <c r="A13" s="1" t="s">
        <v>0</v>
      </c>
      <c r="B13" s="9"/>
      <c r="C13" s="9"/>
      <c r="D13" s="9"/>
      <c r="E13" s="1" t="s">
        <v>4</v>
      </c>
      <c r="F13" s="1" t="s">
        <v>5</v>
      </c>
      <c r="G13" s="1" t="s">
        <v>6</v>
      </c>
      <c r="H13" s="9"/>
      <c r="I13" s="9"/>
      <c r="J13" s="8" t="s">
        <v>13</v>
      </c>
    </row>
    <row xmlns:x14ac="http://schemas.microsoft.com/office/spreadsheetml/2009/9/ac" r="14" x14ac:dyDescent="0.25">
      <c r="A14" s="2" t="s">
        <v>22</v>
      </c>
      <c r="B14" s="9">
        <v>0.19333356618881226</v>
      </c>
      <c r="C14" s="9">
        <v>0.041000000000000002</v>
      </c>
      <c r="D14" s="9"/>
      <c r="E14" s="2" t="s">
        <v>46</v>
      </c>
      <c r="F14" s="2" t="s">
        <v>46</v>
      </c>
      <c r="G14" s="2" t="s">
        <v>46</v>
      </c>
      <c r="H14" s="9">
        <v>1</v>
      </c>
      <c r="I14" s="9">
        <v>1</v>
      </c>
      <c r="J14" t="s">
        <v>28</v>
      </c>
    </row>
    <row r="15">
      <c r="A15" s="2" t="s">
        <v>46</v>
      </c>
      <c r="B15" s="9"/>
      <c r="C15" s="9"/>
      <c r="D15" s="9"/>
      <c r="E15" s="2" t="s">
        <v>46</v>
      </c>
      <c r="F15" s="2" t="s">
        <v>46</v>
      </c>
      <c r="G15" s="2" t="s">
        <v>46</v>
      </c>
      <c r="H15" s="9"/>
      <c r="I15" s="9"/>
      <c r="J15" t="s">
        <v>46</v>
      </c>
    </row>
    <row xmlns:x14ac="http://schemas.microsoft.com/office/spreadsheetml/2009/9/ac" r="16" x14ac:dyDescent="0.25">
      <c r="A16" s="4" t="s">
        <v>27</v>
      </c>
      <c r="B16" s="9"/>
      <c r="C16" s="9"/>
      <c r="D16" s="9"/>
      <c r="E16" s="2" t="s">
        <v>46</v>
      </c>
      <c r="F16" s="2" t="s">
        <v>46</v>
      </c>
      <c r="G16" s="2" t="s">
        <v>46</v>
      </c>
      <c r="H16" s="9"/>
      <c r="I16" s="9"/>
      <c r="J16" t="s">
        <v>46</v>
      </c>
    </row>
    <row xmlns:x14ac="http://schemas.microsoft.com/office/spreadsheetml/2009/9/ac" r="17" x14ac:dyDescent="0.25">
      <c r="A17" s="5" t="s">
        <v>16</v>
      </c>
      <c r="B17" s="9"/>
      <c r="C17" s="9"/>
      <c r="D17" s="9"/>
      <c r="E17" s="2" t="s">
        <v>46</v>
      </c>
      <c r="F17" s="2" t="s">
        <v>46</v>
      </c>
      <c r="G17" s="2" t="s">
        <v>46</v>
      </c>
      <c r="H17" s="9"/>
      <c r="I17" s="9"/>
      <c r="J17" t="s">
        <v>46</v>
      </c>
    </row>
    <row xmlns:x14ac="http://schemas.microsoft.com/office/spreadsheetml/2009/9/ac" r="18" x14ac:dyDescent="0.25">
      <c r="A18" s="5" t="s">
        <v>17</v>
      </c>
      <c r="B18" s="9"/>
      <c r="C18" s="9"/>
      <c r="D18" s="9"/>
      <c r="E18" s="2" t="s">
        <v>46</v>
      </c>
      <c r="F18" s="2" t="s">
        <v>46</v>
      </c>
      <c r="G18" s="2" t="s">
        <v>46</v>
      </c>
      <c r="H18" s="9"/>
      <c r="I18" s="9"/>
      <c r="J18" t="s">
        <v>46</v>
      </c>
    </row>
    <row xmlns:x14ac="http://schemas.microsoft.com/office/spreadsheetml/2009/9/ac" r="19" x14ac:dyDescent="0.25">
      <c r="A19" s="5" t="s">
        <v>19</v>
      </c>
      <c r="B19" s="9"/>
      <c r="C19" s="9"/>
      <c r="D19" s="9"/>
      <c r="E19" s="2" t="s">
        <v>46</v>
      </c>
      <c r="F19" s="2" t="s">
        <v>46</v>
      </c>
      <c r="G19" s="2" t="s">
        <v>46</v>
      </c>
      <c r="H19" s="9"/>
      <c r="I19" s="9"/>
      <c r="J19" t="s">
        <v>46</v>
      </c>
    </row>
    <row xmlns:x14ac="http://schemas.microsoft.com/office/spreadsheetml/2009/9/ac" r="20" x14ac:dyDescent="0.25">
      <c r="A20" s="5" t="s">
        <v>23</v>
      </c>
      <c r="B20" s="9"/>
      <c r="C20" s="9"/>
      <c r="D20" s="9"/>
      <c r="E20" s="2" t="s">
        <v>46</v>
      </c>
      <c r="F20" s="2" t="s">
        <v>46</v>
      </c>
      <c r="G20" s="2" t="s">
        <v>46</v>
      </c>
      <c r="H20" s="9"/>
      <c r="I20" s="9"/>
      <c r="J20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B4" sqref="B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29</v>
      </c>
      <c r="B1" s="1" t="s">
        <v>30</v>
      </c>
      <c r="C1" s="1" t="s">
        <v>31</v>
      </c>
    </row>
    <row xmlns:x14ac="http://schemas.microsoft.com/office/spreadsheetml/2009/9/ac" r="2" x14ac:dyDescent="0.25">
      <c r="A2" s="2" t="s">
        <v>32</v>
      </c>
      <c r="B2" s="2" t="s">
        <v>43</v>
      </c>
      <c r="C2" s="2">
        <f>raw_data!B3</f>
        <v>-1.3</v>
      </c>
    </row>
    <row xmlns:x14ac="http://schemas.microsoft.com/office/spreadsheetml/2009/9/ac" r="3" ht="75" x14ac:dyDescent="0.25">
      <c r="A3" s="2" t="s">
        <v>44</v>
      </c>
      <c r="B3" s="2" t="s">
        <v>45</v>
      </c>
      <c r="C3" s="2">
        <f>raw_data!B4/raw_data!C4</f>
        <v>-3.4173354735152488</v>
      </c>
    </row>
    <row xmlns:x14ac="http://schemas.microsoft.com/office/spreadsheetml/2009/9/ac" r="4" ht="30" x14ac:dyDescent="0.25">
      <c r="A4" s="2" t="s">
        <v>33</v>
      </c>
      <c r="B4" s="2" t="s">
        <v>34</v>
      </c>
      <c r="C4" s="2">
        <f>-raw_data!B14</f>
        <v>-0.19400000000000001</v>
      </c>
    </row>
    <row xmlns:x14ac="http://schemas.microsoft.com/office/spreadsheetml/2009/9/ac" r="5" ht="30" x14ac:dyDescent="0.25">
      <c r="A5" s="2" t="s">
        <v>35</v>
      </c>
      <c r="B5" s="2" t="s">
        <v>36</v>
      </c>
      <c r="C5" s="2">
        <f>raw_data!C14</f>
        <v>4.1000000000000002E-2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2024-05-01T22:07:30Z</dcterms:modified>
</cp:coreProperties>
</file>